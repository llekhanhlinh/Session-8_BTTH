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hoan\Downloads\"/>
    </mc:Choice>
  </mc:AlternateContent>
  <xr:revisionPtr revIDLastSave="0" documentId="13_ncr:1_{28B10229-6FFE-415D-B3BE-A25ACC16B760}" xr6:coauthVersionLast="47" xr6:coauthVersionMax="47" xr10:uidLastSave="{00000000-0000-0000-0000-000000000000}"/>
  <bookViews>
    <workbookView xWindow="-108" yWindow="-108" windowWidth="23256" windowHeight="12456" activeTab="1" xr2:uid="{00000000-000D-0000-FFFF-FFFF00000000}"/>
  </bookViews>
  <sheets>
    <sheet name="Sheet1" sheetId="2" r:id="rId1"/>
    <sheet name="Dataset_SS08_Bai1_ThoiTrang (1)" sheetId="1" r:id="rId2"/>
  </sheets>
  <definedNames>
    <definedName name="Slicer_Ngay_Ban">#N/A</definedName>
  </definedNames>
  <calcPr calcId="191029"/>
  <pivotCaches>
    <pivotCache cacheId="2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uri="GoogleSheetsCustomDataVersion2">
      <go:sheetsCustomData xmlns:go="http://customooxmlschemas.google.com/" r:id="rId5" roundtripDataChecksum="+6Vf4Wq3izv8qLKRQZl3eSVqBrz/p8mVPWoTj1ApuHg="/>
    </ext>
  </extLst>
</workbook>
</file>

<file path=xl/calcChain.xml><?xml version="1.0" encoding="utf-8"?>
<calcChain xmlns="http://schemas.openxmlformats.org/spreadsheetml/2006/main">
  <c r="O2" i="1" l="1"/>
  <c r="M2" i="1"/>
  <c r="N2" i="1"/>
  <c r="G8" i="1"/>
  <c r="G9" i="1"/>
  <c r="G12" i="1"/>
  <c r="G13" i="1"/>
  <c r="G16" i="1"/>
  <c r="G17" i="1"/>
  <c r="G20" i="1"/>
  <c r="G21" i="1"/>
  <c r="G24" i="1"/>
  <c r="G25" i="1"/>
  <c r="G28" i="1"/>
  <c r="G29" i="1"/>
  <c r="G32" i="1"/>
  <c r="G33" i="1"/>
  <c r="G36" i="1"/>
  <c r="G37" i="1"/>
  <c r="G40" i="1"/>
  <c r="G41" i="1"/>
  <c r="G44" i="1"/>
  <c r="G45" i="1"/>
  <c r="G48" i="1"/>
  <c r="G49" i="1"/>
  <c r="G52" i="1"/>
  <c r="G53" i="1"/>
  <c r="G56" i="1"/>
  <c r="G57" i="1"/>
  <c r="G60" i="1"/>
  <c r="G61" i="1"/>
  <c r="G64" i="1"/>
  <c r="G65" i="1"/>
  <c r="G68" i="1"/>
  <c r="G69" i="1"/>
  <c r="G72" i="1"/>
  <c r="G73" i="1"/>
  <c r="G76" i="1"/>
  <c r="G77" i="1"/>
  <c r="G80" i="1"/>
  <c r="G81" i="1"/>
  <c r="G84" i="1"/>
  <c r="G85" i="1"/>
  <c r="G88" i="1"/>
  <c r="G89" i="1"/>
  <c r="G92" i="1"/>
  <c r="G93" i="1"/>
  <c r="G96" i="1"/>
  <c r="G97" i="1"/>
  <c r="G100" i="1"/>
  <c r="G101" i="1"/>
  <c r="G104" i="1"/>
  <c r="G105" i="1"/>
  <c r="G108" i="1"/>
  <c r="G109" i="1"/>
  <c r="G112" i="1"/>
  <c r="G113" i="1"/>
  <c r="G116" i="1"/>
  <c r="G117" i="1"/>
  <c r="G120" i="1"/>
  <c r="G121" i="1"/>
  <c r="G124" i="1"/>
  <c r="G125" i="1"/>
  <c r="G128" i="1"/>
  <c r="G129" i="1"/>
  <c r="G132" i="1"/>
  <c r="G133" i="1"/>
  <c r="G136" i="1"/>
  <c r="G137" i="1"/>
  <c r="G140" i="1"/>
  <c r="G141" i="1"/>
  <c r="G144" i="1"/>
  <c r="G145" i="1"/>
  <c r="G148" i="1"/>
  <c r="G149" i="1"/>
  <c r="G152" i="1"/>
  <c r="G153" i="1"/>
  <c r="G156" i="1"/>
  <c r="G157" i="1"/>
  <c r="G160" i="1"/>
  <c r="G161" i="1"/>
  <c r="G164" i="1"/>
  <c r="G165" i="1"/>
  <c r="G168" i="1"/>
  <c r="G169" i="1"/>
  <c r="G172" i="1"/>
  <c r="G173" i="1"/>
  <c r="G176" i="1"/>
  <c r="G177" i="1"/>
  <c r="G180" i="1"/>
  <c r="G181" i="1"/>
  <c r="G184" i="1"/>
  <c r="G185" i="1"/>
  <c r="G188" i="1"/>
  <c r="G189" i="1"/>
  <c r="G192" i="1"/>
  <c r="G193" i="1"/>
  <c r="G196" i="1"/>
  <c r="G197" i="1"/>
  <c r="G200" i="1"/>
  <c r="G201" i="1"/>
  <c r="G204" i="1"/>
  <c r="G205" i="1"/>
  <c r="G208" i="1"/>
  <c r="G209" i="1"/>
  <c r="G212" i="1"/>
  <c r="G213" i="1"/>
  <c r="G216" i="1"/>
  <c r="G217" i="1"/>
  <c r="G220" i="1"/>
  <c r="G221" i="1"/>
  <c r="G224" i="1"/>
  <c r="G225" i="1"/>
  <c r="G228" i="1"/>
  <c r="G229" i="1"/>
  <c r="G232" i="1"/>
  <c r="G233" i="1"/>
  <c r="G236" i="1"/>
  <c r="G237" i="1"/>
  <c r="G240" i="1"/>
  <c r="G241" i="1"/>
  <c r="G244" i="1"/>
  <c r="G245" i="1"/>
  <c r="G248" i="1"/>
  <c r="G249" i="1"/>
  <c r="F2" i="1"/>
  <c r="G2" i="1" s="1"/>
  <c r="F3" i="1"/>
  <c r="G3" i="1" s="1"/>
  <c r="F4" i="1"/>
  <c r="G4" i="1" s="1"/>
  <c r="F5" i="1"/>
  <c r="L2" i="1" s="1"/>
  <c r="F6" i="1"/>
  <c r="G6" i="1" s="1"/>
  <c r="F7" i="1"/>
  <c r="G7" i="1" s="1"/>
  <c r="F8" i="1"/>
  <c r="F9" i="1"/>
  <c r="F10" i="1"/>
  <c r="G10" i="1" s="1"/>
  <c r="F11" i="1"/>
  <c r="G11" i="1" s="1"/>
  <c r="F12" i="1"/>
  <c r="F13" i="1"/>
  <c r="F14" i="1"/>
  <c r="G14" i="1" s="1"/>
  <c r="F15" i="1"/>
  <c r="G15" i="1" s="1"/>
  <c r="F16" i="1"/>
  <c r="F17" i="1"/>
  <c r="F18" i="1"/>
  <c r="G18" i="1" s="1"/>
  <c r="F19" i="1"/>
  <c r="G19" i="1" s="1"/>
  <c r="F20" i="1"/>
  <c r="F21" i="1"/>
  <c r="F22" i="1"/>
  <c r="G22" i="1" s="1"/>
  <c r="F23" i="1"/>
  <c r="G23" i="1" s="1"/>
  <c r="F24" i="1"/>
  <c r="F25" i="1"/>
  <c r="F26" i="1"/>
  <c r="G26" i="1" s="1"/>
  <c r="F27" i="1"/>
  <c r="G27" i="1" s="1"/>
  <c r="F28" i="1"/>
  <c r="F29" i="1"/>
  <c r="F30" i="1"/>
  <c r="G30" i="1" s="1"/>
  <c r="F31" i="1"/>
  <c r="G31" i="1" s="1"/>
  <c r="F32" i="1"/>
  <c r="F33" i="1"/>
  <c r="F34" i="1"/>
  <c r="G34" i="1" s="1"/>
  <c r="F35" i="1"/>
  <c r="G35" i="1" s="1"/>
  <c r="F36" i="1"/>
  <c r="F37" i="1"/>
  <c r="F38" i="1"/>
  <c r="G38" i="1" s="1"/>
  <c r="F39" i="1"/>
  <c r="G39" i="1" s="1"/>
  <c r="F40" i="1"/>
  <c r="F41" i="1"/>
  <c r="F42" i="1"/>
  <c r="G42" i="1" s="1"/>
  <c r="F43" i="1"/>
  <c r="G43" i="1" s="1"/>
  <c r="F44" i="1"/>
  <c r="F45" i="1"/>
  <c r="F46" i="1"/>
  <c r="G46" i="1" s="1"/>
  <c r="F47" i="1"/>
  <c r="G47" i="1" s="1"/>
  <c r="F48" i="1"/>
  <c r="F49" i="1"/>
  <c r="F50" i="1"/>
  <c r="G50" i="1" s="1"/>
  <c r="F51" i="1"/>
  <c r="G51" i="1" s="1"/>
  <c r="F52" i="1"/>
  <c r="F53" i="1"/>
  <c r="F54" i="1"/>
  <c r="G54" i="1" s="1"/>
  <c r="F55" i="1"/>
  <c r="G55" i="1" s="1"/>
  <c r="F56" i="1"/>
  <c r="F57" i="1"/>
  <c r="F58" i="1"/>
  <c r="G58" i="1" s="1"/>
  <c r="F59" i="1"/>
  <c r="G59" i="1" s="1"/>
  <c r="F60" i="1"/>
  <c r="F61" i="1"/>
  <c r="F62" i="1"/>
  <c r="G62" i="1" s="1"/>
  <c r="F63" i="1"/>
  <c r="G63" i="1" s="1"/>
  <c r="F64" i="1"/>
  <c r="F65" i="1"/>
  <c r="F66" i="1"/>
  <c r="G66" i="1" s="1"/>
  <c r="F67" i="1"/>
  <c r="G67" i="1" s="1"/>
  <c r="F68" i="1"/>
  <c r="F69" i="1"/>
  <c r="F70" i="1"/>
  <c r="G70" i="1" s="1"/>
  <c r="F71" i="1"/>
  <c r="G71" i="1" s="1"/>
  <c r="F72" i="1"/>
  <c r="F73" i="1"/>
  <c r="F74" i="1"/>
  <c r="G74" i="1" s="1"/>
  <c r="F75" i="1"/>
  <c r="G75" i="1" s="1"/>
  <c r="F76" i="1"/>
  <c r="F77" i="1"/>
  <c r="F78" i="1"/>
  <c r="G78" i="1" s="1"/>
  <c r="F79" i="1"/>
  <c r="G79" i="1" s="1"/>
  <c r="F80" i="1"/>
  <c r="F81" i="1"/>
  <c r="F82" i="1"/>
  <c r="G82" i="1" s="1"/>
  <c r="F83" i="1"/>
  <c r="G83" i="1" s="1"/>
  <c r="F84" i="1"/>
  <c r="F85" i="1"/>
  <c r="F86" i="1"/>
  <c r="G86" i="1" s="1"/>
  <c r="F87" i="1"/>
  <c r="G87" i="1" s="1"/>
  <c r="F88" i="1"/>
  <c r="F89" i="1"/>
  <c r="F90" i="1"/>
  <c r="G90" i="1" s="1"/>
  <c r="F91" i="1"/>
  <c r="G91" i="1" s="1"/>
  <c r="F92" i="1"/>
  <c r="F93" i="1"/>
  <c r="F94" i="1"/>
  <c r="G94" i="1" s="1"/>
  <c r="F95" i="1"/>
  <c r="G95" i="1" s="1"/>
  <c r="F96" i="1"/>
  <c r="F97" i="1"/>
  <c r="F98" i="1"/>
  <c r="G98" i="1" s="1"/>
  <c r="F99" i="1"/>
  <c r="G99" i="1" s="1"/>
  <c r="F100" i="1"/>
  <c r="F101" i="1"/>
  <c r="F102" i="1"/>
  <c r="G102" i="1" s="1"/>
  <c r="F103" i="1"/>
  <c r="G103" i="1" s="1"/>
  <c r="F104" i="1"/>
  <c r="F105" i="1"/>
  <c r="F106" i="1"/>
  <c r="G106" i="1" s="1"/>
  <c r="F107" i="1"/>
  <c r="G107" i="1" s="1"/>
  <c r="F108" i="1"/>
  <c r="F109" i="1"/>
  <c r="F110" i="1"/>
  <c r="G110" i="1" s="1"/>
  <c r="F111" i="1"/>
  <c r="G111" i="1" s="1"/>
  <c r="F112" i="1"/>
  <c r="F113" i="1"/>
  <c r="F114" i="1"/>
  <c r="G114" i="1" s="1"/>
  <c r="F115" i="1"/>
  <c r="G115" i="1" s="1"/>
  <c r="F116" i="1"/>
  <c r="F117" i="1"/>
  <c r="F118" i="1"/>
  <c r="G118" i="1" s="1"/>
  <c r="F119" i="1"/>
  <c r="G119" i="1" s="1"/>
  <c r="F120" i="1"/>
  <c r="F121" i="1"/>
  <c r="F122" i="1"/>
  <c r="G122" i="1" s="1"/>
  <c r="F123" i="1"/>
  <c r="G123" i="1" s="1"/>
  <c r="F124" i="1"/>
  <c r="F125" i="1"/>
  <c r="F126" i="1"/>
  <c r="G126" i="1" s="1"/>
  <c r="F127" i="1"/>
  <c r="G127" i="1" s="1"/>
  <c r="F128" i="1"/>
  <c r="F129" i="1"/>
  <c r="F130" i="1"/>
  <c r="G130" i="1" s="1"/>
  <c r="F131" i="1"/>
  <c r="G131" i="1" s="1"/>
  <c r="F132" i="1"/>
  <c r="F133" i="1"/>
  <c r="F134" i="1"/>
  <c r="G134" i="1" s="1"/>
  <c r="F135" i="1"/>
  <c r="G135" i="1" s="1"/>
  <c r="F136" i="1"/>
  <c r="F137" i="1"/>
  <c r="F138" i="1"/>
  <c r="G138" i="1" s="1"/>
  <c r="F139" i="1"/>
  <c r="G139" i="1" s="1"/>
  <c r="F140" i="1"/>
  <c r="F141" i="1"/>
  <c r="F142" i="1"/>
  <c r="G142" i="1" s="1"/>
  <c r="F143" i="1"/>
  <c r="G143" i="1" s="1"/>
  <c r="F144" i="1"/>
  <c r="F145" i="1"/>
  <c r="F146" i="1"/>
  <c r="G146" i="1" s="1"/>
  <c r="F147" i="1"/>
  <c r="G147" i="1" s="1"/>
  <c r="F148" i="1"/>
  <c r="F149" i="1"/>
  <c r="F150" i="1"/>
  <c r="G150" i="1" s="1"/>
  <c r="F151" i="1"/>
  <c r="G151" i="1" s="1"/>
  <c r="F152" i="1"/>
  <c r="F153" i="1"/>
  <c r="F154" i="1"/>
  <c r="G154" i="1" s="1"/>
  <c r="F155" i="1"/>
  <c r="G155" i="1" s="1"/>
  <c r="F156" i="1"/>
  <c r="F157" i="1"/>
  <c r="F158" i="1"/>
  <c r="G158" i="1" s="1"/>
  <c r="F159" i="1"/>
  <c r="G159" i="1" s="1"/>
  <c r="F160" i="1"/>
  <c r="F161" i="1"/>
  <c r="F162" i="1"/>
  <c r="G162" i="1" s="1"/>
  <c r="F163" i="1"/>
  <c r="G163" i="1" s="1"/>
  <c r="F164" i="1"/>
  <c r="F165" i="1"/>
  <c r="F166" i="1"/>
  <c r="G166" i="1" s="1"/>
  <c r="F167" i="1"/>
  <c r="G167" i="1" s="1"/>
  <c r="F168" i="1"/>
  <c r="F169" i="1"/>
  <c r="F170" i="1"/>
  <c r="G170" i="1" s="1"/>
  <c r="F171" i="1"/>
  <c r="G171" i="1" s="1"/>
  <c r="F172" i="1"/>
  <c r="F173" i="1"/>
  <c r="F174" i="1"/>
  <c r="G174" i="1" s="1"/>
  <c r="F175" i="1"/>
  <c r="G175" i="1" s="1"/>
  <c r="F176" i="1"/>
  <c r="F177" i="1"/>
  <c r="F178" i="1"/>
  <c r="G178" i="1" s="1"/>
  <c r="F179" i="1"/>
  <c r="G179" i="1" s="1"/>
  <c r="F180" i="1"/>
  <c r="F181" i="1"/>
  <c r="F182" i="1"/>
  <c r="G182" i="1" s="1"/>
  <c r="F183" i="1"/>
  <c r="G183" i="1" s="1"/>
  <c r="F184" i="1"/>
  <c r="F185" i="1"/>
  <c r="F186" i="1"/>
  <c r="G186" i="1" s="1"/>
  <c r="F187" i="1"/>
  <c r="G187" i="1" s="1"/>
  <c r="F188" i="1"/>
  <c r="F189" i="1"/>
  <c r="F190" i="1"/>
  <c r="G190" i="1" s="1"/>
  <c r="F191" i="1"/>
  <c r="G191" i="1" s="1"/>
  <c r="F192" i="1"/>
  <c r="F193" i="1"/>
  <c r="F194" i="1"/>
  <c r="G194" i="1" s="1"/>
  <c r="F195" i="1"/>
  <c r="G195" i="1" s="1"/>
  <c r="F196" i="1"/>
  <c r="F197" i="1"/>
  <c r="F198" i="1"/>
  <c r="G198" i="1" s="1"/>
  <c r="F199" i="1"/>
  <c r="G199" i="1" s="1"/>
  <c r="F200" i="1"/>
  <c r="F201" i="1"/>
  <c r="F202" i="1"/>
  <c r="G202" i="1" s="1"/>
  <c r="F203" i="1"/>
  <c r="G203" i="1" s="1"/>
  <c r="F204" i="1"/>
  <c r="F205" i="1"/>
  <c r="F206" i="1"/>
  <c r="G206" i="1" s="1"/>
  <c r="F207" i="1"/>
  <c r="G207" i="1" s="1"/>
  <c r="F208" i="1"/>
  <c r="F209" i="1"/>
  <c r="F210" i="1"/>
  <c r="G210" i="1" s="1"/>
  <c r="F211" i="1"/>
  <c r="G211" i="1" s="1"/>
  <c r="F212" i="1"/>
  <c r="F213" i="1"/>
  <c r="F214" i="1"/>
  <c r="G214" i="1" s="1"/>
  <c r="F215" i="1"/>
  <c r="G215" i="1" s="1"/>
  <c r="F216" i="1"/>
  <c r="F217" i="1"/>
  <c r="F218" i="1"/>
  <c r="G218" i="1" s="1"/>
  <c r="F219" i="1"/>
  <c r="G219" i="1" s="1"/>
  <c r="F220" i="1"/>
  <c r="F221" i="1"/>
  <c r="F222" i="1"/>
  <c r="G222" i="1" s="1"/>
  <c r="F223" i="1"/>
  <c r="G223" i="1" s="1"/>
  <c r="F224" i="1"/>
  <c r="F225" i="1"/>
  <c r="F226" i="1"/>
  <c r="G226" i="1" s="1"/>
  <c r="F227" i="1"/>
  <c r="G227" i="1" s="1"/>
  <c r="F228" i="1"/>
  <c r="F229" i="1"/>
  <c r="F230" i="1"/>
  <c r="G230" i="1" s="1"/>
  <c r="F231" i="1"/>
  <c r="G231" i="1" s="1"/>
  <c r="F232" i="1"/>
  <c r="F233" i="1"/>
  <c r="F234" i="1"/>
  <c r="G234" i="1" s="1"/>
  <c r="F235" i="1"/>
  <c r="G235" i="1" s="1"/>
  <c r="F236" i="1"/>
  <c r="F237" i="1"/>
  <c r="F238" i="1"/>
  <c r="G238" i="1" s="1"/>
  <c r="F239" i="1"/>
  <c r="G239" i="1" s="1"/>
  <c r="F240" i="1"/>
  <c r="F241" i="1"/>
  <c r="F242" i="1"/>
  <c r="G242" i="1" s="1"/>
  <c r="F243" i="1"/>
  <c r="G243" i="1" s="1"/>
  <c r="F244" i="1"/>
  <c r="F245" i="1"/>
  <c r="F246" i="1"/>
  <c r="G246" i="1" s="1"/>
  <c r="F247" i="1"/>
  <c r="G247" i="1" s="1"/>
  <c r="F248" i="1"/>
  <c r="F249" i="1"/>
  <c r="F250" i="1"/>
  <c r="G250" i="1" s="1"/>
  <c r="F251" i="1"/>
  <c r="G251" i="1" s="1"/>
  <c r="G5" i="1" l="1"/>
</calcChain>
</file>

<file path=xl/sharedStrings.xml><?xml version="1.0" encoding="utf-8"?>
<sst xmlns="http://schemas.openxmlformats.org/spreadsheetml/2006/main" count="1277" uniqueCount="80">
  <si>
    <t>Order_Info</t>
  </si>
  <si>
    <t>Quantity</t>
  </si>
  <si>
    <t>Unit_Price</t>
  </si>
  <si>
    <t>Chi_Nhanh</t>
  </si>
  <si>
    <t>Nhan_Vien</t>
  </si>
  <si>
    <t>Ngay_Ban</t>
  </si>
  <si>
    <t>TP.HCM</t>
  </si>
  <si>
    <t>Đức</t>
  </si>
  <si>
    <t>Đà Nẵng</t>
  </si>
  <si>
    <t>Lan</t>
  </si>
  <si>
    <t>Trang</t>
  </si>
  <si>
    <t>Hà Nội</t>
  </si>
  <si>
    <t>Minh</t>
  </si>
  <si>
    <t>Tuấn</t>
  </si>
  <si>
    <t>Phong</t>
  </si>
  <si>
    <t>Hương</t>
  </si>
  <si>
    <t>Nga</t>
  </si>
  <si>
    <t>Linh</t>
  </si>
  <si>
    <t>Khoa</t>
  </si>
  <si>
    <t>Hùng</t>
  </si>
  <si>
    <t>Bình</t>
  </si>
  <si>
    <t>Mai</t>
  </si>
  <si>
    <t>Hải</t>
  </si>
  <si>
    <t>Thảo</t>
  </si>
  <si>
    <t xml:space="preserve">[DH014] </t>
  </si>
  <si>
    <t xml:space="preserve">[DH004] </t>
  </si>
  <si>
    <t xml:space="preserve">[DH006] </t>
  </si>
  <si>
    <t xml:space="preserve">[DH018] </t>
  </si>
  <si>
    <t xml:space="preserve">[DH005] </t>
  </si>
  <si>
    <t xml:space="preserve">[DH002] </t>
  </si>
  <si>
    <t xml:space="preserve">[DH007] </t>
  </si>
  <si>
    <t xml:space="preserve">[DH020] </t>
  </si>
  <si>
    <t xml:space="preserve">[DH013] </t>
  </si>
  <si>
    <t xml:space="preserve">[DH010] </t>
  </si>
  <si>
    <t xml:space="preserve">[DH011] </t>
  </si>
  <si>
    <t xml:space="preserve">[DH003] </t>
  </si>
  <si>
    <t xml:space="preserve">[DH001] </t>
  </si>
  <si>
    <t xml:space="preserve">[DH017] </t>
  </si>
  <si>
    <t xml:space="preserve">[DH012] </t>
  </si>
  <si>
    <t xml:space="preserve">[DH019] </t>
  </si>
  <si>
    <t xml:space="preserve">[DH008] </t>
  </si>
  <si>
    <t xml:space="preserve">[DH015] </t>
  </si>
  <si>
    <t xml:space="preserve">[DH009] </t>
  </si>
  <si>
    <t xml:space="preserve">[DH016] </t>
  </si>
  <si>
    <t xml:space="preserve"> Áo len cổ lọ </t>
  </si>
  <si>
    <t xml:space="preserve"> Áo</t>
  </si>
  <si>
    <t xml:space="preserve"> Quần jean slim </t>
  </si>
  <si>
    <t xml:space="preserve"> Quần</t>
  </si>
  <si>
    <t xml:space="preserve"> Quần short </t>
  </si>
  <si>
    <t xml:space="preserve"> Áo vest casual </t>
  </si>
  <si>
    <t xml:space="preserve"> Quần kaki </t>
  </si>
  <si>
    <t xml:space="preserve"> Áo thun basic </t>
  </si>
  <si>
    <t xml:space="preserve"> Túi xách mini </t>
  </si>
  <si>
    <t xml:space="preserve"> Phụ kiện</t>
  </si>
  <si>
    <t xml:space="preserve"> Balo mini </t>
  </si>
  <si>
    <t xml:space="preserve"> Áo hoodie </t>
  </si>
  <si>
    <t xml:space="preserve"> Áo polo </t>
  </si>
  <si>
    <t xml:space="preserve"> Quần jogger </t>
  </si>
  <si>
    <t xml:space="preserve"> Áo khoác jean </t>
  </si>
  <si>
    <t xml:space="preserve"> Áo sơ mi trắng </t>
  </si>
  <si>
    <t xml:space="preserve"> Kính mát thời trang </t>
  </si>
  <si>
    <t xml:space="preserve"> Khăn quàng cổ </t>
  </si>
  <si>
    <t xml:space="preserve"> Quần legging </t>
  </si>
  <si>
    <t xml:space="preserve"> Thắt lưng da </t>
  </si>
  <si>
    <t xml:space="preserve"> Quần âu công sở </t>
  </si>
  <si>
    <t xml:space="preserve"> Mũ lưỡi trai </t>
  </si>
  <si>
    <t xml:space="preserve"> Ví da nam </t>
  </si>
  <si>
    <t>Product_Name</t>
  </si>
  <si>
    <t>Danh_Muc</t>
  </si>
  <si>
    <t>Doanh_thu</t>
  </si>
  <si>
    <t>Mức_doanh_thu</t>
  </si>
  <si>
    <t>Row Labels</t>
  </si>
  <si>
    <t>Grand Total</t>
  </si>
  <si>
    <t>Column Labels</t>
  </si>
  <si>
    <t>Sum of Doanh_thu</t>
  </si>
  <si>
    <t>(All)</t>
  </si>
  <si>
    <t>Tổng doanh thu chi nhánh Hà Nội</t>
  </si>
  <si>
    <t>Số đơn hàng có doanh thu "Cao"</t>
  </si>
  <si>
    <t>Tỷ lệ đơn hàng doanh thu cao</t>
  </si>
  <si>
    <t xml:space="preserve">Tổng số đơn hàng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</si>
</sst>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family val="2"/>
    </font>
    <font>
      <sz val="11"/>
      <color theme="1"/>
      <name val="Calibri"/>
      <family val="2"/>
      <scheme val="minor"/>
    </font>
    <font>
      <sz val="11"/>
      <color theme="1"/>
      <name val="Calibri"/>
      <family val="2"/>
    </font>
    <font>
      <sz val="8"/>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5" fillId="0" borderId="0" applyFont="0" applyFill="0" applyBorder="0" applyAlignment="0" applyProtection="0"/>
  </cellStyleXfs>
  <cellXfs count="9">
    <xf numFmtId="0" fontId="0" fillId="0" borderId="0" xfId="0"/>
    <xf numFmtId="0" fontId="1" fillId="0" borderId="0" xfId="0" applyFont="1" applyAlignment="1">
      <alignment horizontal="center"/>
    </xf>
    <xf numFmtId="0" fontId="2" fillId="0" borderId="0" xfId="0" applyFont="1"/>
    <xf numFmtId="14" fontId="3" fillId="0" borderId="0" xfId="0" applyNumberFormat="1" applyFont="1"/>
    <xf numFmtId="14"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9" fontId="0" fillId="0" borderId="0" xfId="1" applyFont="1"/>
  </cellXfs>
  <cellStyles count="2">
    <cellStyle name="Normal" xfId="0" builtinId="0"/>
    <cellStyle name="Percent" xfId="1" builtinId="5"/>
  </cellStyles>
  <dxfs count="12">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5</xdr:col>
      <xdr:colOff>563880</xdr:colOff>
      <xdr:row>0</xdr:row>
      <xdr:rowOff>175260</xdr:rowOff>
    </xdr:from>
    <xdr:to>
      <xdr:col>8</xdr:col>
      <xdr:colOff>563880</xdr:colOff>
      <xdr:row>14</xdr:row>
      <xdr:rowOff>81915</xdr:rowOff>
    </xdr:to>
    <mc:AlternateContent xmlns:mc="http://schemas.openxmlformats.org/markup-compatibility/2006">
      <mc:Choice xmlns:a14="http://schemas.microsoft.com/office/drawing/2010/main" Requires="a14">
        <xdr:graphicFrame macro="">
          <xdr:nvGraphicFramePr>
            <xdr:cNvPr id="2" name="Ngay_Ban">
              <a:extLst>
                <a:ext uri="{FF2B5EF4-FFF2-40B4-BE49-F238E27FC236}">
                  <a16:creationId xmlns:a16="http://schemas.microsoft.com/office/drawing/2014/main" id="{83FC537E-4C13-3DBD-2B70-7D4E188C024A}"/>
                </a:ext>
              </a:extLst>
            </xdr:cNvPr>
            <xdr:cNvGraphicFramePr/>
          </xdr:nvGraphicFramePr>
          <xdr:xfrm>
            <a:off x="0" y="0"/>
            <a:ext cx="0" cy="0"/>
          </xdr:xfrm>
          <a:graphic>
            <a:graphicData uri="http://schemas.microsoft.com/office/drawing/2010/slicer">
              <sle:slicer xmlns:sle="http://schemas.microsoft.com/office/drawing/2010/slicer" name="Ngay_Ban"/>
            </a:graphicData>
          </a:graphic>
        </xdr:graphicFrame>
      </mc:Choice>
      <mc:Fallback>
        <xdr:sp macro="" textlink="">
          <xdr:nvSpPr>
            <xdr:cNvPr id="0" name=""/>
            <xdr:cNvSpPr>
              <a:spLocks noTextEdit="1"/>
            </xdr:cNvSpPr>
          </xdr:nvSpPr>
          <xdr:spPr>
            <a:xfrm>
              <a:off x="4770120" y="175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 refreshedDate="46044.396002430556" createdVersion="8" refreshedVersion="8" minRefreshableVersion="3" recordCount="250" xr:uid="{3E92C7E6-F21E-4DAF-8683-FB967D19F8B6}">
  <cacheSource type="worksheet">
    <worksheetSource name="Table1"/>
  </cacheSource>
  <cacheFields count="10">
    <cacheField name="Order_Info" numFmtId="0">
      <sharedItems/>
    </cacheField>
    <cacheField name="Product_Name" numFmtId="0">
      <sharedItems/>
    </cacheField>
    <cacheField name="Danh_Muc" numFmtId="0">
      <sharedItems count="3">
        <s v=" Áo"/>
        <s v=" Quần"/>
        <s v=" Phụ kiện"/>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75000" maxValue="550000"/>
    </cacheField>
    <cacheField name="Doanh_thu" numFmtId="0">
      <sharedItems containsSemiMixedTypes="0" containsString="0" containsNumber="1" containsInteger="1" minValue="75000" maxValue="5500000"/>
    </cacheField>
    <cacheField name="Mức_doanh_thu" numFmtId="0">
      <sharedItems/>
    </cacheField>
    <cacheField name="Chi_Nhanh" numFmtId="0">
      <sharedItems count="3">
        <s v="TP.HCM"/>
        <s v="Đà Nẵng"/>
        <s v="Hà Nội"/>
      </sharedItems>
    </cacheField>
    <cacheField name="Nhan_Vien" numFmtId="0">
      <sharedItems count="15">
        <s v="Đức"/>
        <s v="Lan"/>
        <s v="Trang"/>
        <s v="Minh"/>
        <s v="Tuấn"/>
        <s v="Phong"/>
        <s v="Hương"/>
        <s v="Nga"/>
        <s v="Linh"/>
        <s v="Khoa"/>
        <s v="Hùng"/>
        <s v="Bình"/>
        <s v="Mai"/>
        <s v="Hải"/>
        <s v="Thảo"/>
      </sharedItems>
    </cacheField>
    <cacheField name="Ngay_Ban" numFmtId="14">
      <sharedItems containsSemiMixedTypes="0" containsNonDate="0" containsDate="1" containsString="0" minDate="2024-01-11T00:00:00" maxDate="2024-12-12T00:00:00" count="30">
        <d v="2024-12-11T00:00:00"/>
        <d v="2024-11-24T00:00:00"/>
        <d v="2024-06-11T00:00:00"/>
        <d v="2024-11-19T00:00:00"/>
        <d v="2024-11-29T00:00:00"/>
        <d v="2024-11-11T00:00:00"/>
        <d v="2024-11-17T00:00:00"/>
        <d v="2024-05-11T00:00:00"/>
        <d v="2024-11-14T00:00:00"/>
        <d v="2024-11-27T00:00:00"/>
        <d v="2024-03-11T00:00:00"/>
        <d v="2024-11-15T00:00:00"/>
        <d v="2024-01-11T00:00:00"/>
        <d v="2024-11-13T00:00:00"/>
        <d v="2024-11-23T00:00:00"/>
        <d v="2024-02-11T00:00:00"/>
        <d v="2024-11-22T00:00:00"/>
        <d v="2024-11-25T00:00:00"/>
        <d v="2024-11-16T00:00:00"/>
        <d v="2024-11-28T00:00:00"/>
        <d v="2024-09-11T00:00:00"/>
        <d v="2024-11-30T00:00:00"/>
        <d v="2024-11-21T00:00:00"/>
        <d v="2024-07-11T00:00:00"/>
        <d v="2024-04-11T00:00:00"/>
        <d v="2024-11-20T00:00:00"/>
        <d v="2024-11-26T00:00:00"/>
        <d v="2024-10-11T00:00:00"/>
        <d v="2024-08-11T00:00:00"/>
        <d v="2024-11-18T00:00:00"/>
      </sharedItems>
    </cacheField>
  </cacheFields>
  <extLst>
    <ext xmlns:x14="http://schemas.microsoft.com/office/spreadsheetml/2009/9/main" uri="{725AE2AE-9491-48be-B2B4-4EB974FC3084}">
      <x14:pivotCacheDefinition pivotCacheId="20984949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DH014] "/>
    <s v=" Áo len cổ lọ "/>
    <x v="0"/>
    <n v="1"/>
    <n v="280000"/>
    <n v="280000"/>
    <s v="Thấp"/>
    <x v="0"/>
    <x v="0"/>
    <x v="0"/>
  </r>
  <r>
    <s v="[DH004] "/>
    <s v=" Quần jean slim "/>
    <x v="1"/>
    <n v="9"/>
    <n v="280000"/>
    <n v="2520000"/>
    <s v="Cao"/>
    <x v="1"/>
    <x v="1"/>
    <x v="1"/>
  </r>
  <r>
    <s v="[DH006] "/>
    <s v=" Quần short "/>
    <x v="1"/>
    <n v="6"/>
    <n v="150000"/>
    <n v="900000"/>
    <s v="Trung bình"/>
    <x v="0"/>
    <x v="2"/>
    <x v="2"/>
  </r>
  <r>
    <s v="[DH018] "/>
    <s v=" Áo vest casual "/>
    <x v="0"/>
    <n v="10"/>
    <n v="550000"/>
    <n v="5500000"/>
    <s v="Cao"/>
    <x v="2"/>
    <x v="3"/>
    <x v="2"/>
  </r>
  <r>
    <s v="[DH005] "/>
    <s v=" Quần kaki "/>
    <x v="1"/>
    <n v="7"/>
    <n v="220000"/>
    <n v="1540000"/>
    <s v="Cao"/>
    <x v="2"/>
    <x v="4"/>
    <x v="3"/>
  </r>
  <r>
    <s v="[DH014] "/>
    <s v=" Áo len cổ lọ "/>
    <x v="0"/>
    <n v="1"/>
    <n v="280000"/>
    <n v="280000"/>
    <s v="Thấp"/>
    <x v="1"/>
    <x v="5"/>
    <x v="4"/>
  </r>
  <r>
    <s v="[DH002] "/>
    <s v=" Áo thun basic "/>
    <x v="0"/>
    <n v="8"/>
    <n v="120000"/>
    <n v="960000"/>
    <s v="Trung bình"/>
    <x v="1"/>
    <x v="1"/>
    <x v="5"/>
  </r>
  <r>
    <s v="[DH007] "/>
    <s v=" Túi xách mini "/>
    <x v="2"/>
    <n v="4"/>
    <n v="180000"/>
    <n v="720000"/>
    <s v="Trung bình"/>
    <x v="2"/>
    <x v="6"/>
    <x v="6"/>
  </r>
  <r>
    <s v="[DH020] "/>
    <s v=" Balo mini "/>
    <x v="2"/>
    <n v="7"/>
    <n v="220000"/>
    <n v="1540000"/>
    <s v="Cao"/>
    <x v="2"/>
    <x v="7"/>
    <x v="7"/>
  </r>
  <r>
    <s v="[DH006] "/>
    <s v=" Quần short "/>
    <x v="1"/>
    <n v="3"/>
    <n v="150000"/>
    <n v="450000"/>
    <s v="Thấp"/>
    <x v="0"/>
    <x v="8"/>
    <x v="8"/>
  </r>
  <r>
    <s v="[DH004] "/>
    <s v=" Quần jean slim "/>
    <x v="1"/>
    <n v="9"/>
    <n v="280000"/>
    <n v="2520000"/>
    <s v="Cao"/>
    <x v="0"/>
    <x v="2"/>
    <x v="9"/>
  </r>
  <r>
    <s v="[DH013] "/>
    <s v=" Áo hoodie "/>
    <x v="0"/>
    <n v="10"/>
    <n v="320000"/>
    <n v="3200000"/>
    <s v="Cao"/>
    <x v="0"/>
    <x v="0"/>
    <x v="10"/>
  </r>
  <r>
    <s v="[DH018] "/>
    <s v=" Áo vest casual "/>
    <x v="0"/>
    <n v="2"/>
    <n v="550000"/>
    <n v="1100000"/>
    <s v="Cao"/>
    <x v="2"/>
    <x v="6"/>
    <x v="11"/>
  </r>
  <r>
    <s v="[DH010] "/>
    <s v=" Áo polo "/>
    <x v="0"/>
    <n v="6"/>
    <n v="200000"/>
    <n v="1200000"/>
    <s v="Cao"/>
    <x v="1"/>
    <x v="1"/>
    <x v="1"/>
  </r>
  <r>
    <s v="[DH002] "/>
    <s v=" Áo thun basic "/>
    <x v="0"/>
    <n v="5"/>
    <n v="120000"/>
    <n v="600000"/>
    <s v="Trung bình"/>
    <x v="1"/>
    <x v="5"/>
    <x v="5"/>
  </r>
  <r>
    <s v="[DH011] "/>
    <s v=" Quần jogger "/>
    <x v="1"/>
    <n v="6"/>
    <n v="195000"/>
    <n v="1170000"/>
    <s v="Cao"/>
    <x v="2"/>
    <x v="4"/>
    <x v="12"/>
  </r>
  <r>
    <s v="[DH003] "/>
    <s v=" Áo khoác jean "/>
    <x v="0"/>
    <n v="3"/>
    <n v="350000"/>
    <n v="1050000"/>
    <s v="Cao"/>
    <x v="0"/>
    <x v="9"/>
    <x v="13"/>
  </r>
  <r>
    <s v="[DH002] "/>
    <s v=" Áo thun basic "/>
    <x v="0"/>
    <n v="6"/>
    <n v="120000"/>
    <n v="720000"/>
    <s v="Trung bình"/>
    <x v="2"/>
    <x v="3"/>
    <x v="12"/>
  </r>
  <r>
    <s v="[DH001] "/>
    <s v=" Áo sơ mi trắng "/>
    <x v="0"/>
    <n v="10"/>
    <n v="150000"/>
    <n v="1500000"/>
    <s v="Cao"/>
    <x v="0"/>
    <x v="10"/>
    <x v="7"/>
  </r>
  <r>
    <s v="[DH017] "/>
    <s v=" Kính mát thời trang "/>
    <x v="2"/>
    <n v="8"/>
    <n v="180000"/>
    <n v="1440000"/>
    <s v="Cao"/>
    <x v="2"/>
    <x v="11"/>
    <x v="14"/>
  </r>
  <r>
    <s v="[DH011] "/>
    <s v=" Quần jogger "/>
    <x v="1"/>
    <n v="4"/>
    <n v="195000"/>
    <n v="780000"/>
    <s v="Trung bình"/>
    <x v="2"/>
    <x v="4"/>
    <x v="15"/>
  </r>
  <r>
    <s v="[DH020] "/>
    <s v=" Balo mini "/>
    <x v="2"/>
    <n v="6"/>
    <n v="220000"/>
    <n v="1320000"/>
    <s v="Cao"/>
    <x v="2"/>
    <x v="4"/>
    <x v="11"/>
  </r>
  <r>
    <s v="[DH010] "/>
    <s v=" Áo polo "/>
    <x v="0"/>
    <n v="2"/>
    <n v="200000"/>
    <n v="400000"/>
    <s v="Thấp"/>
    <x v="2"/>
    <x v="7"/>
    <x v="16"/>
  </r>
  <r>
    <s v="[DH012] "/>
    <s v=" Khăn quàng cổ "/>
    <x v="2"/>
    <n v="5"/>
    <n v="85000"/>
    <n v="425000"/>
    <s v="Thấp"/>
    <x v="2"/>
    <x v="3"/>
    <x v="17"/>
  </r>
  <r>
    <s v="[DH020] "/>
    <s v=" Balo mini "/>
    <x v="2"/>
    <n v="9"/>
    <n v="220000"/>
    <n v="1980000"/>
    <s v="Cao"/>
    <x v="0"/>
    <x v="0"/>
    <x v="1"/>
  </r>
  <r>
    <s v="[DH020] "/>
    <s v=" Balo mini "/>
    <x v="2"/>
    <n v="3"/>
    <n v="220000"/>
    <n v="660000"/>
    <s v="Trung bình"/>
    <x v="0"/>
    <x v="12"/>
    <x v="18"/>
  </r>
  <r>
    <s v="[DH014] "/>
    <s v=" Áo len cổ lọ "/>
    <x v="0"/>
    <n v="4"/>
    <n v="280000"/>
    <n v="1120000"/>
    <s v="Cao"/>
    <x v="0"/>
    <x v="12"/>
    <x v="9"/>
  </r>
  <r>
    <s v="[DH019] "/>
    <s v=" Quần legging "/>
    <x v="1"/>
    <n v="3"/>
    <n v="130000"/>
    <n v="390000"/>
    <s v="Thấp"/>
    <x v="2"/>
    <x v="6"/>
    <x v="19"/>
  </r>
  <r>
    <s v="[DH003] "/>
    <s v=" Áo khoác jean "/>
    <x v="0"/>
    <n v="6"/>
    <n v="350000"/>
    <n v="2100000"/>
    <s v="Cao"/>
    <x v="1"/>
    <x v="1"/>
    <x v="20"/>
  </r>
  <r>
    <s v="[DH014] "/>
    <s v=" Áo len cổ lọ "/>
    <x v="0"/>
    <n v="6"/>
    <n v="280000"/>
    <n v="1680000"/>
    <s v="Cao"/>
    <x v="0"/>
    <x v="9"/>
    <x v="13"/>
  </r>
  <r>
    <s v="[DH004] "/>
    <s v=" Quần jean slim "/>
    <x v="1"/>
    <n v="5"/>
    <n v="280000"/>
    <n v="1400000"/>
    <s v="Cao"/>
    <x v="0"/>
    <x v="12"/>
    <x v="21"/>
  </r>
  <r>
    <s v="[DH008] "/>
    <s v=" Thắt lưng da "/>
    <x v="2"/>
    <n v="8"/>
    <n v="95000"/>
    <n v="760000"/>
    <s v="Trung bình"/>
    <x v="0"/>
    <x v="8"/>
    <x v="8"/>
  </r>
  <r>
    <s v="[DH001] "/>
    <s v=" Áo sơ mi trắng "/>
    <x v="0"/>
    <n v="10"/>
    <n v="150000"/>
    <n v="1500000"/>
    <s v="Cao"/>
    <x v="1"/>
    <x v="13"/>
    <x v="0"/>
  </r>
  <r>
    <s v="[DH001] "/>
    <s v=" Áo sơ mi trắng "/>
    <x v="0"/>
    <n v="9"/>
    <n v="150000"/>
    <n v="1350000"/>
    <s v="Cao"/>
    <x v="2"/>
    <x v="3"/>
    <x v="13"/>
  </r>
  <r>
    <s v="[DH018] "/>
    <s v=" Áo vest casual "/>
    <x v="0"/>
    <n v="5"/>
    <n v="550000"/>
    <n v="2750000"/>
    <s v="Cao"/>
    <x v="2"/>
    <x v="6"/>
    <x v="17"/>
  </r>
  <r>
    <s v="[DH014] "/>
    <s v=" Áo len cổ lọ "/>
    <x v="0"/>
    <n v="3"/>
    <n v="280000"/>
    <n v="840000"/>
    <s v="Trung bình"/>
    <x v="2"/>
    <x v="4"/>
    <x v="14"/>
  </r>
  <r>
    <s v="[DH018] "/>
    <s v=" Áo vest casual "/>
    <x v="0"/>
    <n v="8"/>
    <n v="550000"/>
    <n v="4400000"/>
    <s v="Cao"/>
    <x v="1"/>
    <x v="1"/>
    <x v="10"/>
  </r>
  <r>
    <s v="[DH010] "/>
    <s v=" Áo polo "/>
    <x v="0"/>
    <n v="4"/>
    <n v="200000"/>
    <n v="800000"/>
    <s v="Trung bình"/>
    <x v="2"/>
    <x v="11"/>
    <x v="22"/>
  </r>
  <r>
    <s v="[DH003] "/>
    <s v=" Áo khoác jean "/>
    <x v="0"/>
    <n v="6"/>
    <n v="350000"/>
    <n v="2100000"/>
    <s v="Cao"/>
    <x v="0"/>
    <x v="10"/>
    <x v="23"/>
  </r>
  <r>
    <s v="[DH008] "/>
    <s v=" Thắt lưng da "/>
    <x v="2"/>
    <n v="9"/>
    <n v="95000"/>
    <n v="855000"/>
    <s v="Trung bình"/>
    <x v="1"/>
    <x v="14"/>
    <x v="9"/>
  </r>
  <r>
    <s v="[DH017] "/>
    <s v=" Kính mát thời trang "/>
    <x v="2"/>
    <n v="7"/>
    <n v="180000"/>
    <n v="1260000"/>
    <s v="Cao"/>
    <x v="0"/>
    <x v="8"/>
    <x v="1"/>
  </r>
  <r>
    <s v="[DH012] "/>
    <s v=" Khăn quàng cổ "/>
    <x v="2"/>
    <n v="9"/>
    <n v="85000"/>
    <n v="765000"/>
    <s v="Trung bình"/>
    <x v="0"/>
    <x v="10"/>
    <x v="6"/>
  </r>
  <r>
    <s v="[DH007] "/>
    <s v=" Túi xách mini "/>
    <x v="2"/>
    <n v="1"/>
    <n v="180000"/>
    <n v="180000"/>
    <s v="Thấp"/>
    <x v="0"/>
    <x v="2"/>
    <x v="4"/>
  </r>
  <r>
    <s v="[DH019] "/>
    <s v=" Quần legging "/>
    <x v="1"/>
    <n v="6"/>
    <n v="130000"/>
    <n v="780000"/>
    <s v="Trung bình"/>
    <x v="1"/>
    <x v="13"/>
    <x v="22"/>
  </r>
  <r>
    <s v="[DH012] "/>
    <s v=" Khăn quàng cổ "/>
    <x v="2"/>
    <n v="7"/>
    <n v="85000"/>
    <n v="595000"/>
    <s v="Trung bình"/>
    <x v="1"/>
    <x v="1"/>
    <x v="23"/>
  </r>
  <r>
    <s v="[DH019] "/>
    <s v=" Quần legging "/>
    <x v="1"/>
    <n v="9"/>
    <n v="130000"/>
    <n v="1170000"/>
    <s v="Cao"/>
    <x v="2"/>
    <x v="4"/>
    <x v="24"/>
  </r>
  <r>
    <s v="[DH015] "/>
    <s v=" Quần âu công sở "/>
    <x v="1"/>
    <n v="6"/>
    <n v="350000"/>
    <n v="2100000"/>
    <s v="Cao"/>
    <x v="0"/>
    <x v="12"/>
    <x v="0"/>
  </r>
  <r>
    <s v="[DH009] "/>
    <s v=" Mũ lưỡi trai "/>
    <x v="2"/>
    <n v="4"/>
    <n v="75000"/>
    <n v="300000"/>
    <s v="Thấp"/>
    <x v="0"/>
    <x v="2"/>
    <x v="4"/>
  </r>
  <r>
    <s v="[DH017] "/>
    <s v=" Kính mát thời trang "/>
    <x v="2"/>
    <n v="10"/>
    <n v="180000"/>
    <n v="1800000"/>
    <s v="Cao"/>
    <x v="2"/>
    <x v="7"/>
    <x v="11"/>
  </r>
  <r>
    <s v="[DH005] "/>
    <s v=" Quần kaki "/>
    <x v="1"/>
    <n v="2"/>
    <n v="220000"/>
    <n v="440000"/>
    <s v="Thấp"/>
    <x v="1"/>
    <x v="1"/>
    <x v="11"/>
  </r>
  <r>
    <s v="[DH020] "/>
    <s v=" Balo mini "/>
    <x v="2"/>
    <n v="6"/>
    <n v="220000"/>
    <n v="1320000"/>
    <s v="Cao"/>
    <x v="2"/>
    <x v="6"/>
    <x v="24"/>
  </r>
  <r>
    <s v="[DH009] "/>
    <s v=" Mũ lưỡi trai "/>
    <x v="2"/>
    <n v="5"/>
    <n v="75000"/>
    <n v="375000"/>
    <s v="Thấp"/>
    <x v="2"/>
    <x v="3"/>
    <x v="6"/>
  </r>
  <r>
    <s v="[DH008] "/>
    <s v=" Thắt lưng da "/>
    <x v="2"/>
    <n v="6"/>
    <n v="95000"/>
    <n v="570000"/>
    <s v="Trung bình"/>
    <x v="2"/>
    <x v="6"/>
    <x v="14"/>
  </r>
  <r>
    <s v="[DH009] "/>
    <s v=" Mũ lưỡi trai "/>
    <x v="2"/>
    <n v="3"/>
    <n v="75000"/>
    <n v="225000"/>
    <s v="Thấp"/>
    <x v="0"/>
    <x v="0"/>
    <x v="21"/>
  </r>
  <r>
    <s v="[DH007] "/>
    <s v=" Túi xách mini "/>
    <x v="2"/>
    <n v="10"/>
    <n v="180000"/>
    <n v="1800000"/>
    <s v="Cao"/>
    <x v="1"/>
    <x v="14"/>
    <x v="6"/>
  </r>
  <r>
    <s v="[DH007] "/>
    <s v=" Túi xách mini "/>
    <x v="2"/>
    <n v="1"/>
    <n v="180000"/>
    <n v="180000"/>
    <s v="Thấp"/>
    <x v="0"/>
    <x v="2"/>
    <x v="16"/>
  </r>
  <r>
    <s v="[DH003] "/>
    <s v=" Áo khoác jean "/>
    <x v="0"/>
    <n v="7"/>
    <n v="350000"/>
    <n v="2450000"/>
    <s v="Cao"/>
    <x v="2"/>
    <x v="7"/>
    <x v="13"/>
  </r>
  <r>
    <s v="[DH015] "/>
    <s v=" Quần âu công sở "/>
    <x v="1"/>
    <n v="5"/>
    <n v="350000"/>
    <n v="1750000"/>
    <s v="Cao"/>
    <x v="1"/>
    <x v="13"/>
    <x v="25"/>
  </r>
  <r>
    <s v="[DH004] "/>
    <s v=" Quần jean slim "/>
    <x v="1"/>
    <n v="8"/>
    <n v="280000"/>
    <n v="2240000"/>
    <s v="Cao"/>
    <x v="1"/>
    <x v="13"/>
    <x v="19"/>
  </r>
  <r>
    <s v="[DH019] "/>
    <s v=" Quần legging "/>
    <x v="1"/>
    <n v="2"/>
    <n v="130000"/>
    <n v="260000"/>
    <s v="Thấp"/>
    <x v="1"/>
    <x v="13"/>
    <x v="8"/>
  </r>
  <r>
    <s v="[DH016] "/>
    <s v=" Ví da nam "/>
    <x v="2"/>
    <n v="4"/>
    <n v="250000"/>
    <n v="1000000"/>
    <s v="Cao"/>
    <x v="0"/>
    <x v="2"/>
    <x v="3"/>
  </r>
  <r>
    <s v="[DH007] "/>
    <s v=" Túi xách mini "/>
    <x v="2"/>
    <n v="10"/>
    <n v="180000"/>
    <n v="1800000"/>
    <s v="Cao"/>
    <x v="0"/>
    <x v="8"/>
    <x v="26"/>
  </r>
  <r>
    <s v="[DH002] "/>
    <s v=" Áo thun basic "/>
    <x v="0"/>
    <n v="1"/>
    <n v="120000"/>
    <n v="120000"/>
    <s v="Thấp"/>
    <x v="0"/>
    <x v="2"/>
    <x v="1"/>
  </r>
  <r>
    <s v="[DH011] "/>
    <s v=" Quần jogger "/>
    <x v="1"/>
    <n v="4"/>
    <n v="195000"/>
    <n v="780000"/>
    <s v="Trung bình"/>
    <x v="1"/>
    <x v="14"/>
    <x v="22"/>
  </r>
  <r>
    <s v="[DH020] "/>
    <s v=" Balo mini "/>
    <x v="2"/>
    <n v="7"/>
    <n v="220000"/>
    <n v="1540000"/>
    <s v="Cao"/>
    <x v="2"/>
    <x v="7"/>
    <x v="27"/>
  </r>
  <r>
    <s v="[DH015] "/>
    <s v=" Quần âu công sở "/>
    <x v="1"/>
    <n v="7"/>
    <n v="350000"/>
    <n v="2450000"/>
    <s v="Cao"/>
    <x v="2"/>
    <x v="11"/>
    <x v="7"/>
  </r>
  <r>
    <s v="[DH016] "/>
    <s v=" Ví da nam "/>
    <x v="2"/>
    <n v="5"/>
    <n v="250000"/>
    <n v="1250000"/>
    <s v="Cao"/>
    <x v="0"/>
    <x v="12"/>
    <x v="25"/>
  </r>
  <r>
    <s v="[DH013] "/>
    <s v=" Áo hoodie "/>
    <x v="0"/>
    <n v="5"/>
    <n v="320000"/>
    <n v="1600000"/>
    <s v="Cao"/>
    <x v="1"/>
    <x v="13"/>
    <x v="28"/>
  </r>
  <r>
    <s v="[DH006] "/>
    <s v=" Quần short "/>
    <x v="1"/>
    <n v="9"/>
    <n v="150000"/>
    <n v="1350000"/>
    <s v="Cao"/>
    <x v="2"/>
    <x v="11"/>
    <x v="20"/>
  </r>
  <r>
    <s v="[DH010] "/>
    <s v=" Áo polo "/>
    <x v="0"/>
    <n v="6"/>
    <n v="200000"/>
    <n v="1200000"/>
    <s v="Cao"/>
    <x v="2"/>
    <x v="7"/>
    <x v="21"/>
  </r>
  <r>
    <s v="[DH006] "/>
    <s v=" Quần short "/>
    <x v="1"/>
    <n v="4"/>
    <n v="150000"/>
    <n v="600000"/>
    <s v="Trung bình"/>
    <x v="1"/>
    <x v="14"/>
    <x v="0"/>
  </r>
  <r>
    <s v="[DH018] "/>
    <s v=" Áo vest casual "/>
    <x v="0"/>
    <n v="5"/>
    <n v="550000"/>
    <n v="2750000"/>
    <s v="Cao"/>
    <x v="1"/>
    <x v="1"/>
    <x v="18"/>
  </r>
  <r>
    <s v="[DH016] "/>
    <s v=" Ví da nam "/>
    <x v="2"/>
    <n v="3"/>
    <n v="250000"/>
    <n v="750000"/>
    <s v="Trung bình"/>
    <x v="2"/>
    <x v="4"/>
    <x v="19"/>
  </r>
  <r>
    <s v="[DH003] "/>
    <s v=" Áo khoác jean "/>
    <x v="0"/>
    <n v="4"/>
    <n v="350000"/>
    <n v="1400000"/>
    <s v="Cao"/>
    <x v="2"/>
    <x v="3"/>
    <x v="1"/>
  </r>
  <r>
    <s v="[DH008] "/>
    <s v=" Thắt lưng da "/>
    <x v="2"/>
    <n v="9"/>
    <n v="95000"/>
    <n v="855000"/>
    <s v="Trung bình"/>
    <x v="0"/>
    <x v="12"/>
    <x v="13"/>
  </r>
  <r>
    <s v="[DH006] "/>
    <s v=" Quần short "/>
    <x v="1"/>
    <n v="5"/>
    <n v="150000"/>
    <n v="750000"/>
    <s v="Trung bình"/>
    <x v="1"/>
    <x v="1"/>
    <x v="2"/>
  </r>
  <r>
    <s v="[DH007] "/>
    <s v=" Túi xách mini "/>
    <x v="2"/>
    <n v="4"/>
    <n v="180000"/>
    <n v="720000"/>
    <s v="Trung bình"/>
    <x v="1"/>
    <x v="14"/>
    <x v="3"/>
  </r>
  <r>
    <s v="[DH010] "/>
    <s v=" Áo polo "/>
    <x v="0"/>
    <n v="7"/>
    <n v="200000"/>
    <n v="1400000"/>
    <s v="Cao"/>
    <x v="1"/>
    <x v="5"/>
    <x v="1"/>
  </r>
  <r>
    <s v="[DH017] "/>
    <s v=" Kính mát thời trang "/>
    <x v="2"/>
    <n v="8"/>
    <n v="180000"/>
    <n v="1440000"/>
    <s v="Cao"/>
    <x v="2"/>
    <x v="7"/>
    <x v="29"/>
  </r>
  <r>
    <s v="[DH007] "/>
    <s v=" Túi xách mini "/>
    <x v="2"/>
    <n v="1"/>
    <n v="180000"/>
    <n v="180000"/>
    <s v="Thấp"/>
    <x v="1"/>
    <x v="5"/>
    <x v="28"/>
  </r>
  <r>
    <s v="[DH017] "/>
    <s v=" Kính mát thời trang "/>
    <x v="2"/>
    <n v="10"/>
    <n v="180000"/>
    <n v="1800000"/>
    <s v="Cao"/>
    <x v="2"/>
    <x v="4"/>
    <x v="28"/>
  </r>
  <r>
    <s v="[DH008] "/>
    <s v=" Thắt lưng da "/>
    <x v="2"/>
    <n v="7"/>
    <n v="95000"/>
    <n v="665000"/>
    <s v="Trung bình"/>
    <x v="1"/>
    <x v="1"/>
    <x v="28"/>
  </r>
  <r>
    <s v="[DH008] "/>
    <s v=" Thắt lưng da "/>
    <x v="2"/>
    <n v="5"/>
    <n v="95000"/>
    <n v="475000"/>
    <s v="Thấp"/>
    <x v="0"/>
    <x v="9"/>
    <x v="12"/>
  </r>
  <r>
    <s v="[DH011] "/>
    <s v=" Quần jogger "/>
    <x v="1"/>
    <n v="9"/>
    <n v="195000"/>
    <n v="1755000"/>
    <s v="Cao"/>
    <x v="2"/>
    <x v="7"/>
    <x v="24"/>
  </r>
  <r>
    <s v="[DH017] "/>
    <s v=" Kính mát thời trang "/>
    <x v="2"/>
    <n v="4"/>
    <n v="180000"/>
    <n v="720000"/>
    <s v="Trung bình"/>
    <x v="2"/>
    <x v="11"/>
    <x v="12"/>
  </r>
  <r>
    <s v="[DH013] "/>
    <s v=" Áo hoodie "/>
    <x v="0"/>
    <n v="10"/>
    <n v="320000"/>
    <n v="3200000"/>
    <s v="Cao"/>
    <x v="2"/>
    <x v="6"/>
    <x v="27"/>
  </r>
  <r>
    <s v="[DH015] "/>
    <s v=" Quần âu công sở "/>
    <x v="1"/>
    <n v="2"/>
    <n v="350000"/>
    <n v="700000"/>
    <s v="Trung bình"/>
    <x v="0"/>
    <x v="10"/>
    <x v="28"/>
  </r>
  <r>
    <s v="[DH016] "/>
    <s v=" Ví da nam "/>
    <x v="2"/>
    <n v="3"/>
    <n v="250000"/>
    <n v="750000"/>
    <s v="Trung bình"/>
    <x v="1"/>
    <x v="1"/>
    <x v="1"/>
  </r>
  <r>
    <s v="[DH014] "/>
    <s v=" Áo len cổ lọ "/>
    <x v="0"/>
    <n v="7"/>
    <n v="280000"/>
    <n v="1960000"/>
    <s v="Cao"/>
    <x v="1"/>
    <x v="5"/>
    <x v="17"/>
  </r>
  <r>
    <s v="[DH010] "/>
    <s v=" Áo polo "/>
    <x v="0"/>
    <n v="7"/>
    <n v="200000"/>
    <n v="1400000"/>
    <s v="Cao"/>
    <x v="1"/>
    <x v="5"/>
    <x v="15"/>
  </r>
  <r>
    <s v="[DH012] "/>
    <s v=" Khăn quàng cổ "/>
    <x v="2"/>
    <n v="8"/>
    <n v="85000"/>
    <n v="680000"/>
    <s v="Trung bình"/>
    <x v="2"/>
    <x v="3"/>
    <x v="19"/>
  </r>
  <r>
    <s v="[DH017] "/>
    <s v=" Kính mát thời trang "/>
    <x v="2"/>
    <n v="1"/>
    <n v="180000"/>
    <n v="180000"/>
    <s v="Thấp"/>
    <x v="2"/>
    <x v="3"/>
    <x v="7"/>
  </r>
  <r>
    <s v="[DH001] "/>
    <s v=" Áo sơ mi trắng "/>
    <x v="0"/>
    <n v="1"/>
    <n v="150000"/>
    <n v="150000"/>
    <s v="Thấp"/>
    <x v="0"/>
    <x v="0"/>
    <x v="12"/>
  </r>
  <r>
    <s v="[DH019] "/>
    <s v=" Quần legging "/>
    <x v="1"/>
    <n v="4"/>
    <n v="130000"/>
    <n v="520000"/>
    <s v="Trung bình"/>
    <x v="0"/>
    <x v="9"/>
    <x v="9"/>
  </r>
  <r>
    <s v="[DH017] "/>
    <s v=" Kính mát thời trang "/>
    <x v="2"/>
    <n v="10"/>
    <n v="180000"/>
    <n v="1800000"/>
    <s v="Cao"/>
    <x v="0"/>
    <x v="8"/>
    <x v="19"/>
  </r>
  <r>
    <s v="[DH014] "/>
    <s v=" Áo len cổ lọ "/>
    <x v="0"/>
    <n v="4"/>
    <n v="280000"/>
    <n v="1120000"/>
    <s v="Cao"/>
    <x v="0"/>
    <x v="9"/>
    <x v="8"/>
  </r>
  <r>
    <s v="[DH011] "/>
    <s v=" Quần jogger "/>
    <x v="1"/>
    <n v="6"/>
    <n v="195000"/>
    <n v="1170000"/>
    <s v="Cao"/>
    <x v="1"/>
    <x v="5"/>
    <x v="8"/>
  </r>
  <r>
    <s v="[DH014] "/>
    <s v=" Áo len cổ lọ "/>
    <x v="0"/>
    <n v="4"/>
    <n v="280000"/>
    <n v="1120000"/>
    <s v="Cao"/>
    <x v="2"/>
    <x v="11"/>
    <x v="7"/>
  </r>
  <r>
    <s v="[DH001] "/>
    <s v=" Áo sơ mi trắng "/>
    <x v="0"/>
    <n v="1"/>
    <n v="150000"/>
    <n v="150000"/>
    <s v="Thấp"/>
    <x v="2"/>
    <x v="11"/>
    <x v="10"/>
  </r>
  <r>
    <s v="[DH019] "/>
    <s v=" Quần legging "/>
    <x v="1"/>
    <n v="5"/>
    <n v="130000"/>
    <n v="650000"/>
    <s v="Trung bình"/>
    <x v="1"/>
    <x v="1"/>
    <x v="12"/>
  </r>
  <r>
    <s v="[DH011] "/>
    <s v=" Quần jogger "/>
    <x v="1"/>
    <n v="8"/>
    <n v="195000"/>
    <n v="1560000"/>
    <s v="Cao"/>
    <x v="1"/>
    <x v="5"/>
    <x v="10"/>
  </r>
  <r>
    <s v="[DH013] "/>
    <s v=" Áo hoodie "/>
    <x v="0"/>
    <n v="1"/>
    <n v="320000"/>
    <n v="320000"/>
    <s v="Thấp"/>
    <x v="2"/>
    <x v="7"/>
    <x v="11"/>
  </r>
  <r>
    <s v="[DH011] "/>
    <s v=" Quần jogger "/>
    <x v="1"/>
    <n v="10"/>
    <n v="195000"/>
    <n v="1950000"/>
    <s v="Cao"/>
    <x v="1"/>
    <x v="14"/>
    <x v="25"/>
  </r>
  <r>
    <s v="[DH009] "/>
    <s v=" Mũ lưỡi trai "/>
    <x v="2"/>
    <n v="6"/>
    <n v="75000"/>
    <n v="450000"/>
    <s v="Thấp"/>
    <x v="1"/>
    <x v="13"/>
    <x v="25"/>
  </r>
  <r>
    <s v="[DH011] "/>
    <s v=" Quần jogger "/>
    <x v="1"/>
    <n v="9"/>
    <n v="195000"/>
    <n v="1755000"/>
    <s v="Cao"/>
    <x v="1"/>
    <x v="14"/>
    <x v="18"/>
  </r>
  <r>
    <s v="[DH009] "/>
    <s v=" Mũ lưỡi trai "/>
    <x v="2"/>
    <n v="8"/>
    <n v="75000"/>
    <n v="600000"/>
    <s v="Trung bình"/>
    <x v="0"/>
    <x v="9"/>
    <x v="13"/>
  </r>
  <r>
    <s v="[DH020] "/>
    <s v=" Balo mini "/>
    <x v="2"/>
    <n v="1"/>
    <n v="220000"/>
    <n v="220000"/>
    <s v="Thấp"/>
    <x v="1"/>
    <x v="1"/>
    <x v="21"/>
  </r>
  <r>
    <s v="[DH017] "/>
    <s v=" Kính mát thời trang "/>
    <x v="2"/>
    <n v="7"/>
    <n v="180000"/>
    <n v="1260000"/>
    <s v="Cao"/>
    <x v="0"/>
    <x v="12"/>
    <x v="4"/>
  </r>
  <r>
    <s v="[DH009] "/>
    <s v=" Mũ lưỡi trai "/>
    <x v="2"/>
    <n v="9"/>
    <n v="75000"/>
    <n v="675000"/>
    <s v="Trung bình"/>
    <x v="0"/>
    <x v="0"/>
    <x v="18"/>
  </r>
  <r>
    <s v="[DH013] "/>
    <s v=" Áo hoodie "/>
    <x v="0"/>
    <n v="7"/>
    <n v="320000"/>
    <n v="2240000"/>
    <s v="Cao"/>
    <x v="0"/>
    <x v="0"/>
    <x v="13"/>
  </r>
  <r>
    <s v="[DH006] "/>
    <s v=" Quần short "/>
    <x v="1"/>
    <n v="7"/>
    <n v="150000"/>
    <n v="1050000"/>
    <s v="Cao"/>
    <x v="1"/>
    <x v="13"/>
    <x v="29"/>
  </r>
  <r>
    <s v="[DH006] "/>
    <s v=" Quần short "/>
    <x v="1"/>
    <n v="5"/>
    <n v="150000"/>
    <n v="750000"/>
    <s v="Trung bình"/>
    <x v="0"/>
    <x v="9"/>
    <x v="23"/>
  </r>
  <r>
    <s v="[DH007] "/>
    <s v=" Túi xách mini "/>
    <x v="2"/>
    <n v="4"/>
    <n v="180000"/>
    <n v="720000"/>
    <s v="Trung bình"/>
    <x v="2"/>
    <x v="6"/>
    <x v="5"/>
  </r>
  <r>
    <s v="[DH003] "/>
    <s v=" Áo khoác jean "/>
    <x v="0"/>
    <n v="4"/>
    <n v="350000"/>
    <n v="1400000"/>
    <s v="Cao"/>
    <x v="1"/>
    <x v="1"/>
    <x v="9"/>
  </r>
  <r>
    <s v="[DH010] "/>
    <s v=" Áo polo "/>
    <x v="0"/>
    <n v="10"/>
    <n v="200000"/>
    <n v="2000000"/>
    <s v="Cao"/>
    <x v="0"/>
    <x v="10"/>
    <x v="2"/>
  </r>
  <r>
    <s v="[DH005] "/>
    <s v=" Quần kaki "/>
    <x v="1"/>
    <n v="5"/>
    <n v="220000"/>
    <n v="1100000"/>
    <s v="Cao"/>
    <x v="2"/>
    <x v="4"/>
    <x v="3"/>
  </r>
  <r>
    <s v="[DH001] "/>
    <s v=" Áo sơ mi trắng "/>
    <x v="0"/>
    <n v="6"/>
    <n v="150000"/>
    <n v="900000"/>
    <s v="Trung bình"/>
    <x v="2"/>
    <x v="11"/>
    <x v="25"/>
  </r>
  <r>
    <s v="[DH013] "/>
    <s v=" Áo hoodie "/>
    <x v="0"/>
    <n v="3"/>
    <n v="320000"/>
    <n v="960000"/>
    <s v="Trung bình"/>
    <x v="0"/>
    <x v="9"/>
    <x v="17"/>
  </r>
  <r>
    <s v="[DH002] "/>
    <s v=" Áo thun basic "/>
    <x v="0"/>
    <n v="2"/>
    <n v="120000"/>
    <n v="240000"/>
    <s v="Thấp"/>
    <x v="0"/>
    <x v="9"/>
    <x v="9"/>
  </r>
  <r>
    <s v="[DH016] "/>
    <s v=" Ví da nam "/>
    <x v="2"/>
    <n v="5"/>
    <n v="250000"/>
    <n v="1250000"/>
    <s v="Cao"/>
    <x v="2"/>
    <x v="4"/>
    <x v="18"/>
  </r>
  <r>
    <s v="[DH005] "/>
    <s v=" Quần kaki "/>
    <x v="1"/>
    <n v="9"/>
    <n v="220000"/>
    <n v="1980000"/>
    <s v="Cao"/>
    <x v="0"/>
    <x v="0"/>
    <x v="26"/>
  </r>
  <r>
    <s v="[DH018] "/>
    <s v=" Áo vest casual "/>
    <x v="0"/>
    <n v="5"/>
    <n v="550000"/>
    <n v="2750000"/>
    <s v="Cao"/>
    <x v="0"/>
    <x v="10"/>
    <x v="16"/>
  </r>
  <r>
    <s v="[DH019] "/>
    <s v=" Quần legging "/>
    <x v="1"/>
    <n v="6"/>
    <n v="130000"/>
    <n v="780000"/>
    <s v="Trung bình"/>
    <x v="0"/>
    <x v="9"/>
    <x v="13"/>
  </r>
  <r>
    <s v="[DH020] "/>
    <s v=" Balo mini "/>
    <x v="2"/>
    <n v="6"/>
    <n v="220000"/>
    <n v="1320000"/>
    <s v="Cao"/>
    <x v="1"/>
    <x v="1"/>
    <x v="17"/>
  </r>
  <r>
    <s v="[DH004] "/>
    <s v=" Quần jean slim "/>
    <x v="1"/>
    <n v="2"/>
    <n v="280000"/>
    <n v="560000"/>
    <s v="Trung bình"/>
    <x v="1"/>
    <x v="13"/>
    <x v="22"/>
  </r>
  <r>
    <s v="[DH013] "/>
    <s v=" Áo hoodie "/>
    <x v="0"/>
    <n v="7"/>
    <n v="320000"/>
    <n v="2240000"/>
    <s v="Cao"/>
    <x v="2"/>
    <x v="7"/>
    <x v="29"/>
  </r>
  <r>
    <s v="[DH012] "/>
    <s v=" Khăn quàng cổ "/>
    <x v="2"/>
    <n v="4"/>
    <n v="85000"/>
    <n v="340000"/>
    <s v="Thấp"/>
    <x v="1"/>
    <x v="14"/>
    <x v="15"/>
  </r>
  <r>
    <s v="[DH011] "/>
    <s v=" Quần jogger "/>
    <x v="1"/>
    <n v="8"/>
    <n v="195000"/>
    <n v="1560000"/>
    <s v="Cao"/>
    <x v="1"/>
    <x v="1"/>
    <x v="16"/>
  </r>
  <r>
    <s v="[DH016] "/>
    <s v=" Ví da nam "/>
    <x v="2"/>
    <n v="4"/>
    <n v="250000"/>
    <n v="1000000"/>
    <s v="Cao"/>
    <x v="0"/>
    <x v="10"/>
    <x v="7"/>
  </r>
  <r>
    <s v="[DH003] "/>
    <s v=" Áo khoác jean "/>
    <x v="0"/>
    <n v="4"/>
    <n v="350000"/>
    <n v="1400000"/>
    <s v="Cao"/>
    <x v="2"/>
    <x v="11"/>
    <x v="19"/>
  </r>
  <r>
    <s v="[DH009] "/>
    <s v=" Mũ lưỡi trai "/>
    <x v="2"/>
    <n v="1"/>
    <n v="75000"/>
    <n v="75000"/>
    <s v="Thấp"/>
    <x v="1"/>
    <x v="5"/>
    <x v="15"/>
  </r>
  <r>
    <s v="[DH013] "/>
    <s v=" Áo hoodie "/>
    <x v="0"/>
    <n v="9"/>
    <n v="320000"/>
    <n v="2880000"/>
    <s v="Cao"/>
    <x v="1"/>
    <x v="1"/>
    <x v="25"/>
  </r>
  <r>
    <s v="[DH011] "/>
    <s v=" Quần jogger "/>
    <x v="1"/>
    <n v="9"/>
    <n v="195000"/>
    <n v="1755000"/>
    <s v="Cao"/>
    <x v="0"/>
    <x v="9"/>
    <x v="10"/>
  </r>
  <r>
    <s v="[DH004] "/>
    <s v=" Quần jean slim "/>
    <x v="1"/>
    <n v="6"/>
    <n v="280000"/>
    <n v="1680000"/>
    <s v="Cao"/>
    <x v="1"/>
    <x v="5"/>
    <x v="0"/>
  </r>
  <r>
    <s v="[DH010] "/>
    <s v=" Áo polo "/>
    <x v="0"/>
    <n v="3"/>
    <n v="200000"/>
    <n v="600000"/>
    <s v="Trung bình"/>
    <x v="0"/>
    <x v="12"/>
    <x v="10"/>
  </r>
  <r>
    <s v="[DH004] "/>
    <s v=" Quần jean slim "/>
    <x v="1"/>
    <n v="2"/>
    <n v="280000"/>
    <n v="560000"/>
    <s v="Trung bình"/>
    <x v="2"/>
    <x v="4"/>
    <x v="24"/>
  </r>
  <r>
    <s v="[DH015] "/>
    <s v=" Quần âu công sở "/>
    <x v="1"/>
    <n v="1"/>
    <n v="350000"/>
    <n v="350000"/>
    <s v="Thấp"/>
    <x v="2"/>
    <x v="7"/>
    <x v="21"/>
  </r>
  <r>
    <s v="[DH004] "/>
    <s v=" Quần jean slim "/>
    <x v="1"/>
    <n v="6"/>
    <n v="280000"/>
    <n v="1680000"/>
    <s v="Cao"/>
    <x v="0"/>
    <x v="12"/>
    <x v="6"/>
  </r>
  <r>
    <s v="[DH002] "/>
    <s v=" Áo thun basic "/>
    <x v="0"/>
    <n v="7"/>
    <n v="120000"/>
    <n v="840000"/>
    <s v="Trung bình"/>
    <x v="0"/>
    <x v="10"/>
    <x v="21"/>
  </r>
  <r>
    <s v="[DH012] "/>
    <s v=" Khăn quàng cổ "/>
    <x v="2"/>
    <n v="2"/>
    <n v="85000"/>
    <n v="170000"/>
    <s v="Thấp"/>
    <x v="1"/>
    <x v="1"/>
    <x v="9"/>
  </r>
  <r>
    <s v="[DH020] "/>
    <s v=" Balo mini "/>
    <x v="2"/>
    <n v="8"/>
    <n v="220000"/>
    <n v="1760000"/>
    <s v="Cao"/>
    <x v="1"/>
    <x v="1"/>
    <x v="8"/>
  </r>
  <r>
    <s v="[DH016] "/>
    <s v=" Ví da nam "/>
    <x v="2"/>
    <n v="9"/>
    <n v="250000"/>
    <n v="2250000"/>
    <s v="Cao"/>
    <x v="0"/>
    <x v="12"/>
    <x v="16"/>
  </r>
  <r>
    <s v="[DH006] "/>
    <s v=" Quần short "/>
    <x v="1"/>
    <n v="3"/>
    <n v="150000"/>
    <n v="450000"/>
    <s v="Thấp"/>
    <x v="0"/>
    <x v="8"/>
    <x v="26"/>
  </r>
  <r>
    <s v="[DH003] "/>
    <s v=" Áo khoác jean "/>
    <x v="0"/>
    <n v="8"/>
    <n v="350000"/>
    <n v="2800000"/>
    <s v="Cao"/>
    <x v="1"/>
    <x v="5"/>
    <x v="4"/>
  </r>
  <r>
    <s v="[DH004] "/>
    <s v=" Quần jean slim "/>
    <x v="1"/>
    <n v="10"/>
    <n v="280000"/>
    <n v="2800000"/>
    <s v="Cao"/>
    <x v="1"/>
    <x v="14"/>
    <x v="11"/>
  </r>
  <r>
    <s v="[DH005] "/>
    <s v=" Quần kaki "/>
    <x v="1"/>
    <n v="4"/>
    <n v="220000"/>
    <n v="880000"/>
    <s v="Trung bình"/>
    <x v="2"/>
    <x v="4"/>
    <x v="28"/>
  </r>
  <r>
    <s v="[DH006] "/>
    <s v=" Quần short "/>
    <x v="1"/>
    <n v="3"/>
    <n v="150000"/>
    <n v="450000"/>
    <s v="Thấp"/>
    <x v="1"/>
    <x v="1"/>
    <x v="4"/>
  </r>
  <r>
    <s v="[DH020] "/>
    <s v=" Balo mini "/>
    <x v="2"/>
    <n v="7"/>
    <n v="220000"/>
    <n v="1540000"/>
    <s v="Cao"/>
    <x v="0"/>
    <x v="2"/>
    <x v="17"/>
  </r>
  <r>
    <s v="[DH014] "/>
    <s v=" Áo len cổ lọ "/>
    <x v="0"/>
    <n v="1"/>
    <n v="280000"/>
    <n v="280000"/>
    <s v="Thấp"/>
    <x v="0"/>
    <x v="10"/>
    <x v="23"/>
  </r>
  <r>
    <s v="[DH003] "/>
    <s v=" Áo khoác jean "/>
    <x v="0"/>
    <n v="4"/>
    <n v="350000"/>
    <n v="1400000"/>
    <s v="Cao"/>
    <x v="0"/>
    <x v="8"/>
    <x v="4"/>
  </r>
  <r>
    <s v="[DH003] "/>
    <s v=" Áo khoác jean "/>
    <x v="0"/>
    <n v="8"/>
    <n v="350000"/>
    <n v="2800000"/>
    <s v="Cao"/>
    <x v="1"/>
    <x v="5"/>
    <x v="7"/>
  </r>
  <r>
    <s v="[DH017] "/>
    <s v=" Kính mát thời trang "/>
    <x v="2"/>
    <n v="4"/>
    <n v="180000"/>
    <n v="720000"/>
    <s v="Trung bình"/>
    <x v="1"/>
    <x v="13"/>
    <x v="22"/>
  </r>
  <r>
    <s v="[DH018] "/>
    <s v=" Áo vest casual "/>
    <x v="0"/>
    <n v="7"/>
    <n v="550000"/>
    <n v="3850000"/>
    <s v="Cao"/>
    <x v="2"/>
    <x v="3"/>
    <x v="18"/>
  </r>
  <r>
    <s v="[DH020] "/>
    <s v=" Balo mini "/>
    <x v="2"/>
    <n v="5"/>
    <n v="220000"/>
    <n v="1100000"/>
    <s v="Cao"/>
    <x v="1"/>
    <x v="13"/>
    <x v="15"/>
  </r>
  <r>
    <s v="[DH009] "/>
    <s v=" Mũ lưỡi trai "/>
    <x v="2"/>
    <n v="2"/>
    <n v="75000"/>
    <n v="150000"/>
    <s v="Thấp"/>
    <x v="2"/>
    <x v="7"/>
    <x v="8"/>
  </r>
  <r>
    <s v="[DH005] "/>
    <s v=" Quần kaki "/>
    <x v="1"/>
    <n v="6"/>
    <n v="220000"/>
    <n v="1320000"/>
    <s v="Cao"/>
    <x v="2"/>
    <x v="11"/>
    <x v="9"/>
  </r>
  <r>
    <s v="[DH010] "/>
    <s v=" Áo polo "/>
    <x v="0"/>
    <n v="9"/>
    <n v="200000"/>
    <n v="1800000"/>
    <s v="Cao"/>
    <x v="0"/>
    <x v="2"/>
    <x v="15"/>
  </r>
  <r>
    <s v="[DH018] "/>
    <s v=" Áo vest casual "/>
    <x v="0"/>
    <n v="6"/>
    <n v="550000"/>
    <n v="3300000"/>
    <s v="Cao"/>
    <x v="0"/>
    <x v="9"/>
    <x v="17"/>
  </r>
  <r>
    <s v="[DH006] "/>
    <s v=" Quần short "/>
    <x v="1"/>
    <n v="5"/>
    <n v="150000"/>
    <n v="750000"/>
    <s v="Trung bình"/>
    <x v="1"/>
    <x v="1"/>
    <x v="26"/>
  </r>
  <r>
    <s v="[DH018] "/>
    <s v=" Áo vest casual "/>
    <x v="0"/>
    <n v="7"/>
    <n v="550000"/>
    <n v="3850000"/>
    <s v="Cao"/>
    <x v="2"/>
    <x v="4"/>
    <x v="21"/>
  </r>
  <r>
    <s v="[DH016] "/>
    <s v=" Ví da nam "/>
    <x v="2"/>
    <n v="8"/>
    <n v="250000"/>
    <n v="2000000"/>
    <s v="Cao"/>
    <x v="1"/>
    <x v="5"/>
    <x v="12"/>
  </r>
  <r>
    <s v="[DH003] "/>
    <s v=" Áo khoác jean "/>
    <x v="0"/>
    <n v="2"/>
    <n v="350000"/>
    <n v="700000"/>
    <s v="Trung bình"/>
    <x v="1"/>
    <x v="13"/>
    <x v="10"/>
  </r>
  <r>
    <s v="[DH008] "/>
    <s v=" Thắt lưng da "/>
    <x v="2"/>
    <n v="7"/>
    <n v="95000"/>
    <n v="665000"/>
    <s v="Trung bình"/>
    <x v="2"/>
    <x v="4"/>
    <x v="14"/>
  </r>
  <r>
    <s v="[DH020] "/>
    <s v=" Balo mini "/>
    <x v="2"/>
    <n v="10"/>
    <n v="220000"/>
    <n v="2200000"/>
    <s v="Cao"/>
    <x v="0"/>
    <x v="0"/>
    <x v="18"/>
  </r>
  <r>
    <s v="[DH001] "/>
    <s v=" Áo sơ mi trắng "/>
    <x v="0"/>
    <n v="10"/>
    <n v="150000"/>
    <n v="1500000"/>
    <s v="Cao"/>
    <x v="0"/>
    <x v="10"/>
    <x v="11"/>
  </r>
  <r>
    <s v="[DH007] "/>
    <s v=" Túi xách mini "/>
    <x v="2"/>
    <n v="5"/>
    <n v="180000"/>
    <n v="900000"/>
    <s v="Trung bình"/>
    <x v="1"/>
    <x v="13"/>
    <x v="21"/>
  </r>
  <r>
    <s v="[DH015] "/>
    <s v=" Quần âu công sở "/>
    <x v="1"/>
    <n v="8"/>
    <n v="350000"/>
    <n v="2800000"/>
    <s v="Cao"/>
    <x v="1"/>
    <x v="5"/>
    <x v="19"/>
  </r>
  <r>
    <s v="[DH018] "/>
    <s v=" Áo vest casual "/>
    <x v="0"/>
    <n v="6"/>
    <n v="550000"/>
    <n v="3300000"/>
    <s v="Cao"/>
    <x v="2"/>
    <x v="3"/>
    <x v="27"/>
  </r>
  <r>
    <s v="[DH005] "/>
    <s v=" Quần kaki "/>
    <x v="1"/>
    <n v="9"/>
    <n v="220000"/>
    <n v="1980000"/>
    <s v="Cao"/>
    <x v="2"/>
    <x v="6"/>
    <x v="14"/>
  </r>
  <r>
    <s v="[DH018] "/>
    <s v=" Áo vest casual "/>
    <x v="0"/>
    <n v="6"/>
    <n v="550000"/>
    <n v="3300000"/>
    <s v="Cao"/>
    <x v="0"/>
    <x v="9"/>
    <x v="12"/>
  </r>
  <r>
    <s v="[DH020] "/>
    <s v=" Balo mini "/>
    <x v="2"/>
    <n v="3"/>
    <n v="220000"/>
    <n v="660000"/>
    <s v="Trung bình"/>
    <x v="0"/>
    <x v="0"/>
    <x v="26"/>
  </r>
  <r>
    <s v="[DH012] "/>
    <s v=" Khăn quàng cổ "/>
    <x v="2"/>
    <n v="8"/>
    <n v="85000"/>
    <n v="680000"/>
    <s v="Trung bình"/>
    <x v="0"/>
    <x v="2"/>
    <x v="10"/>
  </r>
  <r>
    <s v="[DH002] "/>
    <s v=" Áo thun basic "/>
    <x v="0"/>
    <n v="8"/>
    <n v="120000"/>
    <n v="960000"/>
    <s v="Trung bình"/>
    <x v="2"/>
    <x v="3"/>
    <x v="9"/>
  </r>
  <r>
    <s v="[DH006] "/>
    <s v=" Quần short "/>
    <x v="1"/>
    <n v="4"/>
    <n v="150000"/>
    <n v="600000"/>
    <s v="Trung bình"/>
    <x v="2"/>
    <x v="4"/>
    <x v="0"/>
  </r>
  <r>
    <s v="[DH001] "/>
    <s v=" Áo sơ mi trắng "/>
    <x v="0"/>
    <n v="2"/>
    <n v="150000"/>
    <n v="300000"/>
    <s v="Thấp"/>
    <x v="0"/>
    <x v="9"/>
    <x v="18"/>
  </r>
  <r>
    <s v="[DH015] "/>
    <s v=" Quần âu công sở "/>
    <x v="1"/>
    <n v="5"/>
    <n v="350000"/>
    <n v="1750000"/>
    <s v="Cao"/>
    <x v="1"/>
    <x v="14"/>
    <x v="5"/>
  </r>
  <r>
    <s v="[DH009] "/>
    <s v=" Mũ lưỡi trai "/>
    <x v="2"/>
    <n v="5"/>
    <n v="75000"/>
    <n v="375000"/>
    <s v="Thấp"/>
    <x v="1"/>
    <x v="5"/>
    <x v="27"/>
  </r>
  <r>
    <s v="[DH013] "/>
    <s v=" Áo hoodie "/>
    <x v="0"/>
    <n v="4"/>
    <n v="320000"/>
    <n v="1280000"/>
    <s v="Cao"/>
    <x v="2"/>
    <x v="11"/>
    <x v="18"/>
  </r>
  <r>
    <s v="[DH008] "/>
    <s v=" Thắt lưng da "/>
    <x v="2"/>
    <n v="3"/>
    <n v="95000"/>
    <n v="285000"/>
    <s v="Thấp"/>
    <x v="2"/>
    <x v="4"/>
    <x v="19"/>
  </r>
  <r>
    <s v="[DH020] "/>
    <s v=" Balo mini "/>
    <x v="2"/>
    <n v="5"/>
    <n v="220000"/>
    <n v="1100000"/>
    <s v="Cao"/>
    <x v="0"/>
    <x v="0"/>
    <x v="25"/>
  </r>
  <r>
    <s v="[DH009] "/>
    <s v=" Mũ lưỡi trai "/>
    <x v="2"/>
    <n v="8"/>
    <n v="75000"/>
    <n v="600000"/>
    <s v="Trung bình"/>
    <x v="1"/>
    <x v="14"/>
    <x v="29"/>
  </r>
  <r>
    <s v="[DH018] "/>
    <s v=" Áo vest casual "/>
    <x v="0"/>
    <n v="7"/>
    <n v="550000"/>
    <n v="3850000"/>
    <s v="Cao"/>
    <x v="1"/>
    <x v="14"/>
    <x v="27"/>
  </r>
  <r>
    <s v="[DH009] "/>
    <s v=" Mũ lưỡi trai "/>
    <x v="2"/>
    <n v="3"/>
    <n v="75000"/>
    <n v="225000"/>
    <s v="Thấp"/>
    <x v="2"/>
    <x v="6"/>
    <x v="25"/>
  </r>
  <r>
    <s v="[DH009] "/>
    <s v=" Mũ lưỡi trai "/>
    <x v="2"/>
    <n v="7"/>
    <n v="75000"/>
    <n v="525000"/>
    <s v="Trung bình"/>
    <x v="0"/>
    <x v="2"/>
    <x v="22"/>
  </r>
  <r>
    <s v="[DH004] "/>
    <s v=" Quần jean slim "/>
    <x v="1"/>
    <n v="4"/>
    <n v="280000"/>
    <n v="1120000"/>
    <s v="Cao"/>
    <x v="1"/>
    <x v="14"/>
    <x v="8"/>
  </r>
  <r>
    <s v="[DH004] "/>
    <s v=" Quần jean slim "/>
    <x v="1"/>
    <n v="1"/>
    <n v="280000"/>
    <n v="280000"/>
    <s v="Thấp"/>
    <x v="2"/>
    <x v="3"/>
    <x v="8"/>
  </r>
  <r>
    <s v="[DH014] "/>
    <s v=" Áo len cổ lọ "/>
    <x v="0"/>
    <n v="2"/>
    <n v="280000"/>
    <n v="560000"/>
    <s v="Trung bình"/>
    <x v="2"/>
    <x v="4"/>
    <x v="11"/>
  </r>
  <r>
    <s v="[DH013] "/>
    <s v=" Áo hoodie "/>
    <x v="0"/>
    <n v="10"/>
    <n v="320000"/>
    <n v="3200000"/>
    <s v="Cao"/>
    <x v="1"/>
    <x v="14"/>
    <x v="11"/>
  </r>
  <r>
    <s v="[DH002] "/>
    <s v=" Áo thun basic "/>
    <x v="0"/>
    <n v="7"/>
    <n v="120000"/>
    <n v="840000"/>
    <s v="Trung bình"/>
    <x v="1"/>
    <x v="1"/>
    <x v="5"/>
  </r>
  <r>
    <s v="[DH017] "/>
    <s v=" Kính mát thời trang "/>
    <x v="2"/>
    <n v="5"/>
    <n v="180000"/>
    <n v="900000"/>
    <s v="Trung bình"/>
    <x v="1"/>
    <x v="1"/>
    <x v="11"/>
  </r>
  <r>
    <s v="[DH010] "/>
    <s v=" Áo polo "/>
    <x v="0"/>
    <n v="7"/>
    <n v="200000"/>
    <n v="1400000"/>
    <s v="Cao"/>
    <x v="1"/>
    <x v="1"/>
    <x v="24"/>
  </r>
  <r>
    <s v="[DH018] "/>
    <s v=" Áo vest casual "/>
    <x v="0"/>
    <n v="6"/>
    <n v="550000"/>
    <n v="3300000"/>
    <s v="Cao"/>
    <x v="1"/>
    <x v="5"/>
    <x v="9"/>
  </r>
  <r>
    <s v="[DH017] "/>
    <s v=" Kính mát thời trang "/>
    <x v="2"/>
    <n v="6"/>
    <n v="180000"/>
    <n v="1080000"/>
    <s v="Cao"/>
    <x v="2"/>
    <x v="3"/>
    <x v="18"/>
  </r>
  <r>
    <s v="[DH016] "/>
    <s v=" Ví da nam "/>
    <x v="2"/>
    <n v="8"/>
    <n v="250000"/>
    <n v="2000000"/>
    <s v="Cao"/>
    <x v="2"/>
    <x v="11"/>
    <x v="23"/>
  </r>
  <r>
    <s v="[DH019] "/>
    <s v=" Quần legging "/>
    <x v="1"/>
    <n v="7"/>
    <n v="130000"/>
    <n v="910000"/>
    <s v="Trung bình"/>
    <x v="1"/>
    <x v="13"/>
    <x v="18"/>
  </r>
  <r>
    <s v="[DH010] "/>
    <s v=" Áo polo "/>
    <x v="0"/>
    <n v="7"/>
    <n v="200000"/>
    <n v="1400000"/>
    <s v="Cao"/>
    <x v="1"/>
    <x v="14"/>
    <x v="7"/>
  </r>
  <r>
    <s v="[DH017] "/>
    <s v=" Kính mát thời trang "/>
    <x v="2"/>
    <n v="4"/>
    <n v="180000"/>
    <n v="720000"/>
    <s v="Trung bình"/>
    <x v="0"/>
    <x v="9"/>
    <x v="7"/>
  </r>
  <r>
    <s v="[DH011] "/>
    <s v=" Quần jogger "/>
    <x v="1"/>
    <n v="8"/>
    <n v="195000"/>
    <n v="1560000"/>
    <s v="Cao"/>
    <x v="0"/>
    <x v="0"/>
    <x v="6"/>
  </r>
  <r>
    <s v="[DH018] "/>
    <s v=" Áo vest casual "/>
    <x v="0"/>
    <n v="2"/>
    <n v="550000"/>
    <n v="1100000"/>
    <s v="Cao"/>
    <x v="1"/>
    <x v="14"/>
    <x v="8"/>
  </r>
  <r>
    <s v="[DH010] "/>
    <s v=" Áo polo "/>
    <x v="0"/>
    <n v="8"/>
    <n v="200000"/>
    <n v="1600000"/>
    <s v="Cao"/>
    <x v="1"/>
    <x v="5"/>
    <x v="16"/>
  </r>
  <r>
    <s v="[DH009] "/>
    <s v=" Mũ lưỡi trai "/>
    <x v="2"/>
    <n v="3"/>
    <n v="75000"/>
    <n v="225000"/>
    <s v="Thấp"/>
    <x v="1"/>
    <x v="13"/>
    <x v="3"/>
  </r>
  <r>
    <s v="[DH013] "/>
    <s v=" Áo hoodie "/>
    <x v="0"/>
    <n v="6"/>
    <n v="320000"/>
    <n v="1920000"/>
    <s v="Cao"/>
    <x v="2"/>
    <x v="7"/>
    <x v="9"/>
  </r>
  <r>
    <s v="[DH020] "/>
    <s v=" Balo mini "/>
    <x v="2"/>
    <n v="3"/>
    <n v="220000"/>
    <n v="660000"/>
    <s v="Trung bình"/>
    <x v="1"/>
    <x v="14"/>
    <x v="27"/>
  </r>
  <r>
    <s v="[DH005] "/>
    <s v=" Quần kaki "/>
    <x v="1"/>
    <n v="3"/>
    <n v="220000"/>
    <n v="660000"/>
    <s v="Trung bình"/>
    <x v="0"/>
    <x v="9"/>
    <x v="0"/>
  </r>
  <r>
    <s v="[DH005] "/>
    <s v=" Quần kaki "/>
    <x v="1"/>
    <n v="3"/>
    <n v="220000"/>
    <n v="660000"/>
    <s v="Trung bình"/>
    <x v="0"/>
    <x v="9"/>
    <x v="5"/>
  </r>
  <r>
    <s v="[DH009] "/>
    <s v=" Mũ lưỡi trai "/>
    <x v="2"/>
    <n v="9"/>
    <n v="75000"/>
    <n v="675000"/>
    <s v="Trung bình"/>
    <x v="1"/>
    <x v="13"/>
    <x v="16"/>
  </r>
  <r>
    <s v="[DH007] "/>
    <s v=" Túi xách mini "/>
    <x v="2"/>
    <n v="5"/>
    <n v="180000"/>
    <n v="900000"/>
    <s v="Trung bình"/>
    <x v="2"/>
    <x v="4"/>
    <x v="23"/>
  </r>
  <r>
    <s v="[DH002] "/>
    <s v=" Áo thun basic "/>
    <x v="0"/>
    <n v="7"/>
    <n v="120000"/>
    <n v="840000"/>
    <s v="Trung bình"/>
    <x v="1"/>
    <x v="5"/>
    <x v="14"/>
  </r>
  <r>
    <s v="[DH016] "/>
    <s v=" Ví da nam "/>
    <x v="2"/>
    <n v="5"/>
    <n v="250000"/>
    <n v="1250000"/>
    <s v="Cao"/>
    <x v="0"/>
    <x v="0"/>
    <x v="10"/>
  </r>
  <r>
    <s v="[DH012] "/>
    <s v=" Khăn quàng cổ "/>
    <x v="2"/>
    <n v="5"/>
    <n v="85000"/>
    <n v="425000"/>
    <s v="Thấp"/>
    <x v="1"/>
    <x v="13"/>
    <x v="22"/>
  </r>
  <r>
    <s v="[DH017] "/>
    <s v=" Kính mát thời trang "/>
    <x v="2"/>
    <n v="10"/>
    <n v="180000"/>
    <n v="1800000"/>
    <s v="Cao"/>
    <x v="1"/>
    <x v="1"/>
    <x v="24"/>
  </r>
  <r>
    <s v="[DH007] "/>
    <s v=" Túi xách mini "/>
    <x v="2"/>
    <n v="3"/>
    <n v="180000"/>
    <n v="540000"/>
    <s v="Trung bình"/>
    <x v="2"/>
    <x v="7"/>
    <x v="5"/>
  </r>
  <r>
    <s v="[DH006] "/>
    <s v=" Quần short "/>
    <x v="1"/>
    <n v="2"/>
    <n v="150000"/>
    <n v="300000"/>
    <s v="Thấp"/>
    <x v="1"/>
    <x v="13"/>
    <x v="28"/>
  </r>
  <r>
    <s v="[DH012] "/>
    <s v=" Khăn quàng cổ "/>
    <x v="2"/>
    <n v="4"/>
    <n v="85000"/>
    <n v="340000"/>
    <s v="Thấp"/>
    <x v="1"/>
    <x v="13"/>
    <x v="8"/>
  </r>
  <r>
    <s v="[DH019] "/>
    <s v=" Quần legging "/>
    <x v="1"/>
    <n v="7"/>
    <n v="130000"/>
    <n v="910000"/>
    <s v="Trung bình"/>
    <x v="0"/>
    <x v="12"/>
    <x v="14"/>
  </r>
  <r>
    <s v="[DH020] "/>
    <s v=" Balo mini "/>
    <x v="2"/>
    <n v="1"/>
    <n v="220000"/>
    <n v="220000"/>
    <s v="Thấp"/>
    <x v="2"/>
    <x v="7"/>
    <x v="17"/>
  </r>
  <r>
    <s v="[DH001] "/>
    <s v=" Áo sơ mi trắng "/>
    <x v="0"/>
    <n v="9"/>
    <n v="150000"/>
    <n v="1350000"/>
    <s v="Cao"/>
    <x v="2"/>
    <x v="6"/>
    <x v="2"/>
  </r>
  <r>
    <s v="[DH001] "/>
    <s v=" Áo sơ mi trắng "/>
    <x v="0"/>
    <n v="1"/>
    <n v="150000"/>
    <n v="150000"/>
    <s v="Thấp"/>
    <x v="0"/>
    <x v="9"/>
    <x v="28"/>
  </r>
  <r>
    <s v="[DH003] "/>
    <s v=" Áo khoác jean "/>
    <x v="0"/>
    <n v="3"/>
    <n v="350000"/>
    <n v="1050000"/>
    <s v="Cao"/>
    <x v="1"/>
    <x v="13"/>
    <x v="8"/>
  </r>
  <r>
    <s v="[DH004] "/>
    <s v=" Quần jean slim "/>
    <x v="1"/>
    <n v="3"/>
    <n v="280000"/>
    <n v="840000"/>
    <s v="Trung bình"/>
    <x v="2"/>
    <x v="6"/>
    <x v="12"/>
  </r>
  <r>
    <s v="[DH007] "/>
    <s v=" Túi xách mini "/>
    <x v="2"/>
    <n v="10"/>
    <n v="180000"/>
    <n v="1800000"/>
    <s v="Cao"/>
    <x v="2"/>
    <x v="7"/>
    <x v="5"/>
  </r>
  <r>
    <s v="[DH005] "/>
    <s v=" Quần kaki "/>
    <x v="1"/>
    <n v="4"/>
    <n v="220000"/>
    <n v="880000"/>
    <s v="Trung bình"/>
    <x v="1"/>
    <x v="1"/>
    <x v="20"/>
  </r>
  <r>
    <s v="[DH016] "/>
    <s v=" Ví da nam "/>
    <x v="2"/>
    <n v="9"/>
    <n v="250000"/>
    <n v="2250000"/>
    <s v="Cao"/>
    <x v="0"/>
    <x v="12"/>
    <x v="17"/>
  </r>
  <r>
    <s v="[DH002] "/>
    <s v=" Áo thun basic "/>
    <x v="0"/>
    <n v="9"/>
    <n v="120000"/>
    <n v="1080000"/>
    <s v="Cao"/>
    <x v="0"/>
    <x v="12"/>
    <x v="29"/>
  </r>
  <r>
    <s v="[DH015] "/>
    <s v=" Quần âu công sở "/>
    <x v="1"/>
    <n v="3"/>
    <n v="350000"/>
    <n v="1050000"/>
    <s v="Cao"/>
    <x v="2"/>
    <x v="4"/>
    <x v="26"/>
  </r>
  <r>
    <s v="[DH008] "/>
    <s v=" Thắt lưng da "/>
    <x v="2"/>
    <n v="4"/>
    <n v="95000"/>
    <n v="380000"/>
    <s v="Thấp"/>
    <x v="1"/>
    <x v="1"/>
    <x v="20"/>
  </r>
  <r>
    <s v="[DH011] "/>
    <s v=" Quần jogger "/>
    <x v="1"/>
    <n v="8"/>
    <n v="195000"/>
    <n v="1560000"/>
    <s v="Cao"/>
    <x v="1"/>
    <x v="1"/>
    <x v="19"/>
  </r>
  <r>
    <s v="[DH017] "/>
    <s v=" Kính mát thời trang "/>
    <x v="2"/>
    <n v="5"/>
    <n v="180000"/>
    <n v="900000"/>
    <s v="Trung bình"/>
    <x v="0"/>
    <x v="8"/>
    <x v="28"/>
  </r>
  <r>
    <s v="[DH007] "/>
    <s v=" Túi xách mini "/>
    <x v="2"/>
    <n v="7"/>
    <n v="180000"/>
    <n v="1260000"/>
    <s v="Cao"/>
    <x v="0"/>
    <x v="2"/>
    <x v="18"/>
  </r>
  <r>
    <s v="[DH012] "/>
    <s v=" Khăn quàng cổ "/>
    <x v="2"/>
    <n v="8"/>
    <n v="85000"/>
    <n v="680000"/>
    <s v="Trung bình"/>
    <x v="1"/>
    <x v="5"/>
    <x v="6"/>
  </r>
  <r>
    <s v="[DH018] "/>
    <s v=" Áo vest casual "/>
    <x v="0"/>
    <n v="10"/>
    <n v="550000"/>
    <n v="5500000"/>
    <s v="Cao"/>
    <x v="0"/>
    <x v="0"/>
    <x v="26"/>
  </r>
  <r>
    <s v="[DH018] "/>
    <s v=" Áo vest casual "/>
    <x v="0"/>
    <n v="1"/>
    <n v="550000"/>
    <n v="550000"/>
    <s v="Trung bình"/>
    <x v="1"/>
    <x v="13"/>
    <x v="8"/>
  </r>
  <r>
    <s v="[DH007] "/>
    <s v=" Túi xách mini "/>
    <x v="2"/>
    <n v="6"/>
    <n v="180000"/>
    <n v="1080000"/>
    <s v="Cao"/>
    <x v="2"/>
    <x v="3"/>
    <x v="6"/>
  </r>
  <r>
    <s v="[DH004] "/>
    <s v=" Quần jean slim "/>
    <x v="1"/>
    <n v="10"/>
    <n v="280000"/>
    <n v="2800000"/>
    <s v="Cao"/>
    <x v="0"/>
    <x v="2"/>
    <x v="12"/>
  </r>
  <r>
    <s v="[DH016] "/>
    <s v=" Ví da nam "/>
    <x v="2"/>
    <n v="2"/>
    <n v="250000"/>
    <n v="500000"/>
    <s v="Trung bình"/>
    <x v="1"/>
    <x v="1"/>
    <x v="18"/>
  </r>
  <r>
    <s v="[DH004] "/>
    <s v=" Quần jean slim "/>
    <x v="1"/>
    <n v="5"/>
    <n v="280000"/>
    <n v="1400000"/>
    <s v="Cao"/>
    <x v="0"/>
    <x v="12"/>
    <x v="28"/>
  </r>
  <r>
    <s v="[DH003] "/>
    <s v=" Áo khoác jean "/>
    <x v="0"/>
    <n v="5"/>
    <n v="350000"/>
    <n v="1750000"/>
    <s v="Cao"/>
    <x v="2"/>
    <x v="7"/>
    <x v="29"/>
  </r>
  <r>
    <s v="[DH006] "/>
    <s v=" Quần short "/>
    <x v="1"/>
    <n v="9"/>
    <n v="150000"/>
    <n v="1350000"/>
    <s v="Cao"/>
    <x v="0"/>
    <x v="8"/>
    <x v="24"/>
  </r>
  <r>
    <s v="[DH003] "/>
    <s v=" Áo khoác jean "/>
    <x v="0"/>
    <n v="1"/>
    <n v="350000"/>
    <n v="350000"/>
    <s v="Thấp"/>
    <x v="2"/>
    <x v="3"/>
    <x v="10"/>
  </r>
  <r>
    <s v="[DH014] "/>
    <s v=" Áo len cổ lọ "/>
    <x v="0"/>
    <n v="4"/>
    <n v="280000"/>
    <n v="1120000"/>
    <s v="Cao"/>
    <x v="0"/>
    <x v="10"/>
    <x v="21"/>
  </r>
  <r>
    <s v="[DH014] "/>
    <s v=" Áo len cổ lọ "/>
    <x v="0"/>
    <n v="3"/>
    <n v="280000"/>
    <n v="840000"/>
    <s v="Trung bình"/>
    <x v="2"/>
    <x v="6"/>
    <x v="25"/>
  </r>
  <r>
    <s v="[DH001] "/>
    <s v=" Áo sơ mi trắng "/>
    <x v="0"/>
    <n v="2"/>
    <n v="150000"/>
    <n v="300000"/>
    <s v="Thấp"/>
    <x v="2"/>
    <x v="4"/>
    <x v="17"/>
  </r>
  <r>
    <s v="[DH007] "/>
    <s v=" Túi xách mini "/>
    <x v="2"/>
    <n v="7"/>
    <n v="180000"/>
    <n v="1260000"/>
    <s v="Cao"/>
    <x v="1"/>
    <x v="1"/>
    <x v="29"/>
  </r>
  <r>
    <s v="[DH020] "/>
    <s v=" Balo mini "/>
    <x v="2"/>
    <n v="6"/>
    <n v="220000"/>
    <n v="1320000"/>
    <s v="Cao"/>
    <x v="2"/>
    <x v="3"/>
    <x v="28"/>
  </r>
  <r>
    <s v="[DH014] "/>
    <s v=" Áo len cổ lọ "/>
    <x v="0"/>
    <n v="7"/>
    <n v="280000"/>
    <n v="1960000"/>
    <s v="Cao"/>
    <x v="0"/>
    <x v="10"/>
    <x v="13"/>
  </r>
  <r>
    <s v="[DH016] "/>
    <s v=" Ví da nam "/>
    <x v="2"/>
    <n v="6"/>
    <n v="250000"/>
    <n v="1500000"/>
    <s v="Cao"/>
    <x v="2"/>
    <x v="11"/>
    <x v="12"/>
  </r>
  <r>
    <s v="[DH001] "/>
    <s v=" Áo sơ mi trắng "/>
    <x v="0"/>
    <n v="8"/>
    <n v="150000"/>
    <n v="1200000"/>
    <s v="Cao"/>
    <x v="1"/>
    <x v="5"/>
    <x v="4"/>
  </r>
  <r>
    <s v="[DH018] "/>
    <s v=" Áo vest casual "/>
    <x v="0"/>
    <n v="5"/>
    <n v="550000"/>
    <n v="2750000"/>
    <s v="Cao"/>
    <x v="2"/>
    <x v="3"/>
    <x v="22"/>
  </r>
  <r>
    <s v="[DH011] "/>
    <s v=" Quần jogger "/>
    <x v="1"/>
    <n v="6"/>
    <n v="195000"/>
    <n v="1170000"/>
    <s v="Cao"/>
    <x v="0"/>
    <x v="2"/>
    <x v="26"/>
  </r>
  <r>
    <s v="[DH003] "/>
    <s v=" Áo khoác jean "/>
    <x v="0"/>
    <n v="7"/>
    <n v="350000"/>
    <n v="2450000"/>
    <s v="Cao"/>
    <x v="2"/>
    <x v="3"/>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E2C197-5AD9-46A3-AB2B-6E2704AB6B6C}"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8" firstHeaderRow="1" firstDataRow="2" firstDataCol="1" rowPageCount="1" colPageCount="1"/>
  <pivotFields count="10">
    <pivotField showAll="0"/>
    <pivotField showAll="0"/>
    <pivotField axis="axisCol" showAll="0">
      <items count="4">
        <item x="0"/>
        <item x="2"/>
        <item x="1"/>
        <item t="default"/>
      </items>
    </pivotField>
    <pivotField showAll="0"/>
    <pivotField showAll="0"/>
    <pivotField dataField="1" showAll="0"/>
    <pivotField showAll="0"/>
    <pivotField axis="axisRow" showAll="0">
      <items count="4">
        <item x="1"/>
        <item x="2"/>
        <item x="0"/>
        <item t="default"/>
      </items>
    </pivotField>
    <pivotField axis="axisPage" showAll="0">
      <items count="16">
        <item x="11"/>
        <item x="0"/>
        <item x="13"/>
        <item x="10"/>
        <item x="6"/>
        <item x="9"/>
        <item x="1"/>
        <item x="8"/>
        <item x="12"/>
        <item x="3"/>
        <item x="7"/>
        <item x="5"/>
        <item x="4"/>
        <item x="14"/>
        <item x="2"/>
        <item t="default"/>
      </items>
    </pivotField>
    <pivotField numFmtId="14" showAll="0">
      <items count="31">
        <item x="12"/>
        <item x="15"/>
        <item x="10"/>
        <item x="24"/>
        <item x="7"/>
        <item x="2"/>
        <item x="23"/>
        <item x="28"/>
        <item x="20"/>
        <item x="27"/>
        <item x="5"/>
        <item x="13"/>
        <item x="8"/>
        <item x="11"/>
        <item x="18"/>
        <item x="6"/>
        <item x="29"/>
        <item x="3"/>
        <item x="25"/>
        <item x="22"/>
        <item x="16"/>
        <item x="14"/>
        <item x="1"/>
        <item x="17"/>
        <item x="26"/>
        <item x="9"/>
        <item x="19"/>
        <item x="4"/>
        <item x="21"/>
        <item x="0"/>
        <item t="default"/>
      </items>
    </pivotField>
  </pivotFields>
  <rowFields count="1">
    <field x="7"/>
  </rowFields>
  <rowItems count="4">
    <i>
      <x/>
    </i>
    <i>
      <x v="1"/>
    </i>
    <i>
      <x v="2"/>
    </i>
    <i t="grand">
      <x/>
    </i>
  </rowItems>
  <colFields count="1">
    <field x="2"/>
  </colFields>
  <colItems count="4">
    <i>
      <x/>
    </i>
    <i>
      <x v="1"/>
    </i>
    <i>
      <x v="2"/>
    </i>
    <i t="grand">
      <x/>
    </i>
  </colItems>
  <pageFields count="1">
    <pageField fld="8" hier="-1"/>
  </pageFields>
  <dataFields count="1">
    <dataField name="Sum of Doanh_thu"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gay_Ban" xr10:uid="{00202CC5-72FE-4DFF-B8E4-E8C9FBA7DCFF}" sourceName="Ngay_Ban">
  <pivotTables>
    <pivotTable tabId="2" name="PivotTable4"/>
  </pivotTables>
  <data>
    <tabular pivotCacheId="2098494902">
      <items count="30">
        <i x="12" s="1"/>
        <i x="15" s="1"/>
        <i x="10" s="1"/>
        <i x="24" s="1"/>
        <i x="7" s="1"/>
        <i x="2" s="1"/>
        <i x="23" s="1"/>
        <i x="28" s="1"/>
        <i x="20" s="1"/>
        <i x="27" s="1"/>
        <i x="5" s="1"/>
        <i x="13" s="1"/>
        <i x="8" s="1"/>
        <i x="11" s="1"/>
        <i x="18" s="1"/>
        <i x="6" s="1"/>
        <i x="29" s="1"/>
        <i x="3" s="1"/>
        <i x="25" s="1"/>
        <i x="22" s="1"/>
        <i x="16" s="1"/>
        <i x="14" s="1"/>
        <i x="1" s="1"/>
        <i x="17" s="1"/>
        <i x="26" s="1"/>
        <i x="9" s="1"/>
        <i x="19" s="1"/>
        <i x="4" s="1"/>
        <i x="2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gay_Ban" xr10:uid="{A6B1D955-0107-4320-8CD4-BA5A70FA9001}" cache="Slicer_Ngay_Ban" caption="Ngay_Ba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0122B5-4B76-464D-BDF9-E9E5625D90BC}" name="Table1" displayName="Table1" ref="A1:J251" totalsRowShown="0" headerRowDxfId="11" dataDxfId="10">
  <autoFilter ref="A1:J251" xr:uid="{380122B5-4B76-464D-BDF9-E9E5625D90BC}"/>
  <tableColumns count="10">
    <tableColumn id="1" xr3:uid="{89A92B7B-C2B0-4BC5-995E-3C9A9A137B6E}" name="Order_Info" dataDxfId="9"/>
    <tableColumn id="7" xr3:uid="{134F8908-C65E-4089-8E12-144430AF875C}" name="Product_Name" dataDxfId="8"/>
    <tableColumn id="8" xr3:uid="{A722E48B-3ABE-465A-90D8-8C4B290E0381}" name="Danh_Muc" dataDxfId="7"/>
    <tableColumn id="2" xr3:uid="{4D9C4B4F-705D-43A2-B36F-A00D91710B75}" name="Quantity" dataDxfId="6"/>
    <tableColumn id="3" xr3:uid="{6FEAED4F-BBEA-4479-BFE1-B2D51C1D1CCE}" name="Unit_Price" dataDxfId="5"/>
    <tableColumn id="9" xr3:uid="{584B4C52-62BD-4FB8-8273-8E469B844ED2}" name="Doanh_thu" dataDxfId="4">
      <calculatedColumnFormula>Table1[[#This Row],[Quantity]]*Table1[[#This Row],[Unit_Price]]</calculatedColumnFormula>
    </tableColumn>
    <tableColumn id="10" xr3:uid="{CBABB804-3CC4-4B27-9667-72FA138A3B9B}" name="Mức_doanh_thu" dataDxfId="3">
      <calculatedColumnFormula>_xlfn.IFS(F2&gt;=1000000,"Cao",F2&gt;=500000,"Trung bình",F2&lt;500000,"Thấp")</calculatedColumnFormula>
    </tableColumn>
    <tableColumn id="4" xr3:uid="{BBBEFCB5-1F8F-4D9F-BBCE-5F3E8C4DC317}" name="Chi_Nhanh" dataDxfId="2"/>
    <tableColumn id="5" xr3:uid="{9AEDC9C6-4541-4884-96B2-C9A982819799}" name="Nhan_Vien" dataDxfId="1"/>
    <tableColumn id="6" xr3:uid="{321BA5C6-C4BC-4E16-B9BB-A3840BC28562}" name="Ngay_Ban"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08C18-16FC-48AA-B67C-5BFBD8B72E5A}">
  <dimension ref="A1:E8"/>
  <sheetViews>
    <sheetView workbookViewId="0">
      <selection activeCell="A3" sqref="A3"/>
    </sheetView>
  </sheetViews>
  <sheetFormatPr defaultRowHeight="14.4" x14ac:dyDescent="0.3"/>
  <cols>
    <col min="1" max="1" width="17" bestFit="1" customWidth="1"/>
    <col min="2" max="2" width="15.5546875" bestFit="1" customWidth="1"/>
    <col min="3" max="4" width="9" bestFit="1" customWidth="1"/>
    <col min="5" max="5" width="10.77734375" bestFit="1" customWidth="1"/>
  </cols>
  <sheetData>
    <row r="1" spans="1:5" x14ac:dyDescent="0.3">
      <c r="A1" s="5" t="s">
        <v>4</v>
      </c>
      <c r="B1" t="s">
        <v>75</v>
      </c>
    </row>
    <row r="3" spans="1:5" x14ac:dyDescent="0.3">
      <c r="A3" s="5" t="s">
        <v>74</v>
      </c>
      <c r="B3" s="5" t="s">
        <v>73</v>
      </c>
    </row>
    <row r="4" spans="1:5" x14ac:dyDescent="0.3">
      <c r="A4" s="5" t="s">
        <v>71</v>
      </c>
      <c r="B4" t="s">
        <v>45</v>
      </c>
      <c r="C4" t="s">
        <v>53</v>
      </c>
      <c r="D4" t="s">
        <v>47</v>
      </c>
      <c r="E4" t="s">
        <v>72</v>
      </c>
    </row>
    <row r="5" spans="1:5" x14ac:dyDescent="0.3">
      <c r="A5" s="6" t="s">
        <v>8</v>
      </c>
      <c r="B5" s="7">
        <v>51060000</v>
      </c>
      <c r="C5" s="7">
        <v>23440000</v>
      </c>
      <c r="D5" s="7">
        <v>35375000</v>
      </c>
      <c r="E5" s="7">
        <v>109875000</v>
      </c>
    </row>
    <row r="6" spans="1:5" x14ac:dyDescent="0.3">
      <c r="A6" s="6" t="s">
        <v>11</v>
      </c>
      <c r="B6" s="7">
        <v>53350000</v>
      </c>
      <c r="C6" s="7">
        <v>30355000</v>
      </c>
      <c r="D6" s="7">
        <v>19565000</v>
      </c>
      <c r="E6" s="7">
        <v>103270000</v>
      </c>
    </row>
    <row r="7" spans="1:5" x14ac:dyDescent="0.3">
      <c r="A7" s="6" t="s">
        <v>6</v>
      </c>
      <c r="B7" s="7">
        <v>43640000</v>
      </c>
      <c r="C7" s="7">
        <v>32360000</v>
      </c>
      <c r="D7" s="7">
        <v>26495000</v>
      </c>
      <c r="E7" s="7">
        <v>102495000</v>
      </c>
    </row>
    <row r="8" spans="1:5" x14ac:dyDescent="0.3">
      <c r="A8" s="6" t="s">
        <v>72</v>
      </c>
      <c r="B8" s="7">
        <v>148050000</v>
      </c>
      <c r="C8" s="7">
        <v>86155000</v>
      </c>
      <c r="D8" s="7">
        <v>81435000</v>
      </c>
      <c r="E8" s="7">
        <v>315640000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94"/>
  <sheetViews>
    <sheetView tabSelected="1" topLeftCell="G1" zoomScale="101" workbookViewId="0">
      <selection activeCell="O2" sqref="O2"/>
    </sheetView>
  </sheetViews>
  <sheetFormatPr defaultColWidth="14.44140625" defaultRowHeight="15" customHeight="1" x14ac:dyDescent="0.3"/>
  <cols>
    <col min="1" max="1" width="14.6640625" bestFit="1" customWidth="1"/>
    <col min="2" max="2" width="18.21875" bestFit="1" customWidth="1"/>
    <col min="3" max="3" width="14.6640625" bestFit="1" customWidth="1"/>
    <col min="4" max="4" width="10.21875" customWidth="1"/>
    <col min="5" max="6" width="13.6640625" customWidth="1"/>
    <col min="7" max="7" width="19.88671875" bestFit="1" customWidth="1"/>
    <col min="8" max="8" width="13.33203125" customWidth="1"/>
    <col min="9" max="9" width="15.33203125" customWidth="1"/>
    <col min="10" max="10" width="27.109375" customWidth="1"/>
    <col min="11" max="11" width="8.6640625" customWidth="1"/>
    <col min="12" max="12" width="29.44140625" bestFit="1" customWidth="1"/>
    <col min="13" max="13" width="28.88671875" bestFit="1" customWidth="1"/>
    <col min="14" max="14" width="16.6640625" bestFit="1" customWidth="1"/>
    <col min="15" max="15" width="26.21875" bestFit="1" customWidth="1"/>
    <col min="16" max="29" width="8.6640625" customWidth="1"/>
  </cols>
  <sheetData>
    <row r="1" spans="1:15" ht="14.25" customHeight="1" x14ac:dyDescent="0.3">
      <c r="A1" s="1" t="s">
        <v>0</v>
      </c>
      <c r="B1" s="1" t="s">
        <v>67</v>
      </c>
      <c r="C1" s="1" t="s">
        <v>68</v>
      </c>
      <c r="D1" s="1" t="s">
        <v>1</v>
      </c>
      <c r="E1" s="1" t="s">
        <v>2</v>
      </c>
      <c r="F1" s="1" t="s">
        <v>69</v>
      </c>
      <c r="G1" s="1" t="s">
        <v>70</v>
      </c>
      <c r="H1" s="1" t="s">
        <v>3</v>
      </c>
      <c r="I1" s="1" t="s">
        <v>4</v>
      </c>
      <c r="J1" s="1" t="s">
        <v>5</v>
      </c>
      <c r="L1" s="2" t="s">
        <v>76</v>
      </c>
      <c r="M1" s="2" t="s">
        <v>77</v>
      </c>
      <c r="N1" s="2" t="s">
        <v>79</v>
      </c>
      <c r="O1" s="2" t="s">
        <v>78</v>
      </c>
    </row>
    <row r="2" spans="1:15" ht="14.25" customHeight="1" x14ac:dyDescent="0.3">
      <c r="A2" s="2" t="s">
        <v>24</v>
      </c>
      <c r="B2" s="2" t="s">
        <v>44</v>
      </c>
      <c r="C2" s="2" t="s">
        <v>45</v>
      </c>
      <c r="D2" s="2">
        <v>1</v>
      </c>
      <c r="E2" s="2">
        <v>280000</v>
      </c>
      <c r="F2" s="2">
        <f>Table1[[#This Row],[Quantity]]*Table1[[#This Row],[Unit_Price]]</f>
        <v>280000</v>
      </c>
      <c r="G2" s="2" t="str">
        <f t="shared" ref="G2:G65" si="0">_xlfn.IFS(F2&gt;=1000000,"Cao",F2&gt;=500000,"Trung bình",F2&lt;500000,"Thấp")</f>
        <v>Thấp</v>
      </c>
      <c r="H2" s="2" t="s">
        <v>6</v>
      </c>
      <c r="I2" s="2" t="s">
        <v>7</v>
      </c>
      <c r="J2" s="3">
        <v>45637</v>
      </c>
      <c r="L2" s="2">
        <f>SUMIF(Table1[Chi_Nhanh],"Hà Nội",Table1[Doanh_thu])</f>
        <v>103270000</v>
      </c>
      <c r="M2">
        <f>COUNTIF(Table1[Mức_doanh_thu],"Cao")</f>
        <v>134</v>
      </c>
      <c r="N2" s="2">
        <f>COUNTA(A2:A300)</f>
        <v>250</v>
      </c>
      <c r="O2" s="8">
        <f>M2/N2</f>
        <v>0.53600000000000003</v>
      </c>
    </row>
    <row r="3" spans="1:15" ht="14.25" customHeight="1" x14ac:dyDescent="0.3">
      <c r="A3" s="2" t="s">
        <v>25</v>
      </c>
      <c r="B3" s="2" t="s">
        <v>46</v>
      </c>
      <c r="C3" s="2" t="s">
        <v>47</v>
      </c>
      <c r="D3" s="2">
        <v>9</v>
      </c>
      <c r="E3" s="2">
        <v>280000</v>
      </c>
      <c r="F3" s="2">
        <f>Table1[[#This Row],[Quantity]]*Table1[[#This Row],[Unit_Price]]</f>
        <v>2520000</v>
      </c>
      <c r="G3" s="2" t="str">
        <f t="shared" si="0"/>
        <v>Cao</v>
      </c>
      <c r="H3" s="2" t="s">
        <v>8</v>
      </c>
      <c r="I3" s="2" t="s">
        <v>9</v>
      </c>
      <c r="J3" s="4">
        <v>45620</v>
      </c>
    </row>
    <row r="4" spans="1:15" ht="14.25" customHeight="1" x14ac:dyDescent="0.3">
      <c r="A4" s="2" t="s">
        <v>26</v>
      </c>
      <c r="B4" s="2" t="s">
        <v>48</v>
      </c>
      <c r="C4" s="2" t="s">
        <v>47</v>
      </c>
      <c r="D4" s="2">
        <v>6</v>
      </c>
      <c r="E4" s="2">
        <v>150000</v>
      </c>
      <c r="F4" s="2">
        <f>Table1[[#This Row],[Quantity]]*Table1[[#This Row],[Unit_Price]]</f>
        <v>900000</v>
      </c>
      <c r="G4" s="2" t="str">
        <f t="shared" si="0"/>
        <v>Trung bình</v>
      </c>
      <c r="H4" s="2" t="s">
        <v>6</v>
      </c>
      <c r="I4" s="2" t="s">
        <v>10</v>
      </c>
      <c r="J4" s="3">
        <v>45454</v>
      </c>
    </row>
    <row r="5" spans="1:15" ht="14.25" customHeight="1" x14ac:dyDescent="0.3">
      <c r="A5" s="2" t="s">
        <v>27</v>
      </c>
      <c r="B5" s="2" t="s">
        <v>49</v>
      </c>
      <c r="C5" s="2" t="s">
        <v>45</v>
      </c>
      <c r="D5" s="2">
        <v>10</v>
      </c>
      <c r="E5" s="2">
        <v>550000</v>
      </c>
      <c r="F5" s="2">
        <f>Table1[[#This Row],[Quantity]]*Table1[[#This Row],[Unit_Price]]</f>
        <v>5500000</v>
      </c>
      <c r="G5" s="2" t="str">
        <f t="shared" si="0"/>
        <v>Cao</v>
      </c>
      <c r="H5" s="2" t="s">
        <v>11</v>
      </c>
      <c r="I5" s="2" t="s">
        <v>12</v>
      </c>
      <c r="J5" s="3">
        <v>45454</v>
      </c>
    </row>
    <row r="6" spans="1:15" ht="14.25" customHeight="1" x14ac:dyDescent="0.3">
      <c r="A6" s="2" t="s">
        <v>28</v>
      </c>
      <c r="B6" s="2" t="s">
        <v>50</v>
      </c>
      <c r="C6" s="2" t="s">
        <v>47</v>
      </c>
      <c r="D6" s="2">
        <v>7</v>
      </c>
      <c r="E6" s="2">
        <v>220000</v>
      </c>
      <c r="F6" s="2">
        <f>Table1[[#This Row],[Quantity]]*Table1[[#This Row],[Unit_Price]]</f>
        <v>1540000</v>
      </c>
      <c r="G6" s="2" t="str">
        <f t="shared" si="0"/>
        <v>Cao</v>
      </c>
      <c r="H6" s="2" t="s">
        <v>11</v>
      </c>
      <c r="I6" s="2" t="s">
        <v>13</v>
      </c>
      <c r="J6" s="4">
        <v>45615</v>
      </c>
    </row>
    <row r="7" spans="1:15" ht="14.25" customHeight="1" x14ac:dyDescent="0.3">
      <c r="A7" s="2" t="s">
        <v>24</v>
      </c>
      <c r="B7" s="2" t="s">
        <v>44</v>
      </c>
      <c r="C7" s="2" t="s">
        <v>45</v>
      </c>
      <c r="D7" s="2">
        <v>1</v>
      </c>
      <c r="E7" s="2">
        <v>280000</v>
      </c>
      <c r="F7" s="2">
        <f>Table1[[#This Row],[Quantity]]*Table1[[#This Row],[Unit_Price]]</f>
        <v>280000</v>
      </c>
      <c r="G7" s="2" t="str">
        <f t="shared" si="0"/>
        <v>Thấp</v>
      </c>
      <c r="H7" s="2" t="s">
        <v>8</v>
      </c>
      <c r="I7" s="2" t="s">
        <v>14</v>
      </c>
      <c r="J7" s="4">
        <v>45625</v>
      </c>
    </row>
    <row r="8" spans="1:15" ht="14.25" customHeight="1" x14ac:dyDescent="0.3">
      <c r="A8" s="2" t="s">
        <v>29</v>
      </c>
      <c r="B8" s="2" t="s">
        <v>51</v>
      </c>
      <c r="C8" s="2" t="s">
        <v>45</v>
      </c>
      <c r="D8" s="2">
        <v>8</v>
      </c>
      <c r="E8" s="2">
        <v>120000</v>
      </c>
      <c r="F8" s="2">
        <f>Table1[[#This Row],[Quantity]]*Table1[[#This Row],[Unit_Price]]</f>
        <v>960000</v>
      </c>
      <c r="G8" s="2" t="str">
        <f t="shared" si="0"/>
        <v>Trung bình</v>
      </c>
      <c r="H8" s="2" t="s">
        <v>8</v>
      </c>
      <c r="I8" s="2" t="s">
        <v>9</v>
      </c>
      <c r="J8" s="3">
        <v>45607</v>
      </c>
    </row>
    <row r="9" spans="1:15" ht="14.25" customHeight="1" x14ac:dyDescent="0.3">
      <c r="A9" s="2" t="s">
        <v>30</v>
      </c>
      <c r="B9" s="2" t="s">
        <v>52</v>
      </c>
      <c r="C9" s="2" t="s">
        <v>53</v>
      </c>
      <c r="D9" s="2">
        <v>4</v>
      </c>
      <c r="E9" s="2">
        <v>180000</v>
      </c>
      <c r="F9" s="2">
        <f>Table1[[#This Row],[Quantity]]*Table1[[#This Row],[Unit_Price]]</f>
        <v>720000</v>
      </c>
      <c r="G9" s="2" t="str">
        <f t="shared" si="0"/>
        <v>Trung bình</v>
      </c>
      <c r="H9" s="2" t="s">
        <v>11</v>
      </c>
      <c r="I9" s="2" t="s">
        <v>15</v>
      </c>
      <c r="J9" s="4">
        <v>45613</v>
      </c>
    </row>
    <row r="10" spans="1:15" ht="14.25" customHeight="1" x14ac:dyDescent="0.3">
      <c r="A10" s="2" t="s">
        <v>31</v>
      </c>
      <c r="B10" s="2" t="s">
        <v>54</v>
      </c>
      <c r="C10" s="2" t="s">
        <v>53</v>
      </c>
      <c r="D10" s="2">
        <v>7</v>
      </c>
      <c r="E10" s="2">
        <v>220000</v>
      </c>
      <c r="F10" s="2">
        <f>Table1[[#This Row],[Quantity]]*Table1[[#This Row],[Unit_Price]]</f>
        <v>1540000</v>
      </c>
      <c r="G10" s="2" t="str">
        <f t="shared" si="0"/>
        <v>Cao</v>
      </c>
      <c r="H10" s="2" t="s">
        <v>11</v>
      </c>
      <c r="I10" s="2" t="s">
        <v>16</v>
      </c>
      <c r="J10" s="3">
        <v>45423</v>
      </c>
    </row>
    <row r="11" spans="1:15" ht="14.25" customHeight="1" x14ac:dyDescent="0.3">
      <c r="A11" s="2" t="s">
        <v>26</v>
      </c>
      <c r="B11" s="2" t="s">
        <v>48</v>
      </c>
      <c r="C11" s="2" t="s">
        <v>47</v>
      </c>
      <c r="D11" s="2">
        <v>3</v>
      </c>
      <c r="E11" s="2">
        <v>150000</v>
      </c>
      <c r="F11" s="2">
        <f>Table1[[#This Row],[Quantity]]*Table1[[#This Row],[Unit_Price]]</f>
        <v>450000</v>
      </c>
      <c r="G11" s="2" t="str">
        <f t="shared" si="0"/>
        <v>Thấp</v>
      </c>
      <c r="H11" s="2" t="s">
        <v>6</v>
      </c>
      <c r="I11" s="2" t="s">
        <v>17</v>
      </c>
      <c r="J11" s="4">
        <v>45610</v>
      </c>
    </row>
    <row r="12" spans="1:15" ht="14.25" customHeight="1" x14ac:dyDescent="0.3">
      <c r="A12" s="2" t="s">
        <v>25</v>
      </c>
      <c r="B12" s="2" t="s">
        <v>46</v>
      </c>
      <c r="C12" s="2" t="s">
        <v>47</v>
      </c>
      <c r="D12" s="2">
        <v>9</v>
      </c>
      <c r="E12" s="2">
        <v>280000</v>
      </c>
      <c r="F12" s="2">
        <f>Table1[[#This Row],[Quantity]]*Table1[[#This Row],[Unit_Price]]</f>
        <v>2520000</v>
      </c>
      <c r="G12" s="2" t="str">
        <f t="shared" si="0"/>
        <v>Cao</v>
      </c>
      <c r="H12" s="2" t="s">
        <v>6</v>
      </c>
      <c r="I12" s="2" t="s">
        <v>10</v>
      </c>
      <c r="J12" s="4">
        <v>45623</v>
      </c>
    </row>
    <row r="13" spans="1:15" ht="14.25" customHeight="1" x14ac:dyDescent="0.3">
      <c r="A13" s="2" t="s">
        <v>32</v>
      </c>
      <c r="B13" s="2" t="s">
        <v>55</v>
      </c>
      <c r="C13" s="2" t="s">
        <v>45</v>
      </c>
      <c r="D13" s="2">
        <v>10</v>
      </c>
      <c r="E13" s="2">
        <v>320000</v>
      </c>
      <c r="F13" s="2">
        <f>Table1[[#This Row],[Quantity]]*Table1[[#This Row],[Unit_Price]]</f>
        <v>3200000</v>
      </c>
      <c r="G13" s="2" t="str">
        <f t="shared" si="0"/>
        <v>Cao</v>
      </c>
      <c r="H13" s="2" t="s">
        <v>6</v>
      </c>
      <c r="I13" s="2" t="s">
        <v>7</v>
      </c>
      <c r="J13" s="3">
        <v>45362</v>
      </c>
    </row>
    <row r="14" spans="1:15" ht="14.25" customHeight="1" x14ac:dyDescent="0.3">
      <c r="A14" s="2" t="s">
        <v>27</v>
      </c>
      <c r="B14" s="2" t="s">
        <v>49</v>
      </c>
      <c r="C14" s="2" t="s">
        <v>45</v>
      </c>
      <c r="D14" s="2">
        <v>2</v>
      </c>
      <c r="E14" s="2">
        <v>550000</v>
      </c>
      <c r="F14" s="2">
        <f>Table1[[#This Row],[Quantity]]*Table1[[#This Row],[Unit_Price]]</f>
        <v>1100000</v>
      </c>
      <c r="G14" s="2" t="str">
        <f t="shared" si="0"/>
        <v>Cao</v>
      </c>
      <c r="H14" s="2" t="s">
        <v>11</v>
      </c>
      <c r="I14" s="2" t="s">
        <v>15</v>
      </c>
      <c r="J14" s="4">
        <v>45611</v>
      </c>
    </row>
    <row r="15" spans="1:15" ht="14.25" customHeight="1" x14ac:dyDescent="0.3">
      <c r="A15" s="2" t="s">
        <v>33</v>
      </c>
      <c r="B15" s="2" t="s">
        <v>56</v>
      </c>
      <c r="C15" s="2" t="s">
        <v>45</v>
      </c>
      <c r="D15" s="2">
        <v>6</v>
      </c>
      <c r="E15" s="2">
        <v>200000</v>
      </c>
      <c r="F15" s="2">
        <f>Table1[[#This Row],[Quantity]]*Table1[[#This Row],[Unit_Price]]</f>
        <v>1200000</v>
      </c>
      <c r="G15" s="2" t="str">
        <f t="shared" si="0"/>
        <v>Cao</v>
      </c>
      <c r="H15" s="2" t="s">
        <v>8</v>
      </c>
      <c r="I15" s="2" t="s">
        <v>9</v>
      </c>
      <c r="J15" s="4">
        <v>45620</v>
      </c>
    </row>
    <row r="16" spans="1:15" ht="14.25" customHeight="1" x14ac:dyDescent="0.3">
      <c r="A16" s="2" t="s">
        <v>29</v>
      </c>
      <c r="B16" s="2" t="s">
        <v>51</v>
      </c>
      <c r="C16" s="2" t="s">
        <v>45</v>
      </c>
      <c r="D16" s="2">
        <v>5</v>
      </c>
      <c r="E16" s="2">
        <v>120000</v>
      </c>
      <c r="F16" s="2">
        <f>Table1[[#This Row],[Quantity]]*Table1[[#This Row],[Unit_Price]]</f>
        <v>600000</v>
      </c>
      <c r="G16" s="2" t="str">
        <f t="shared" si="0"/>
        <v>Trung bình</v>
      </c>
      <c r="H16" s="2" t="s">
        <v>8</v>
      </c>
      <c r="I16" s="2" t="s">
        <v>14</v>
      </c>
      <c r="J16" s="3">
        <v>45607</v>
      </c>
    </row>
    <row r="17" spans="1:10" ht="14.25" customHeight="1" x14ac:dyDescent="0.3">
      <c r="A17" s="2" t="s">
        <v>34</v>
      </c>
      <c r="B17" s="2" t="s">
        <v>57</v>
      </c>
      <c r="C17" s="2" t="s">
        <v>47</v>
      </c>
      <c r="D17" s="2">
        <v>6</v>
      </c>
      <c r="E17" s="2">
        <v>195000</v>
      </c>
      <c r="F17" s="2">
        <f>Table1[[#This Row],[Quantity]]*Table1[[#This Row],[Unit_Price]]</f>
        <v>1170000</v>
      </c>
      <c r="G17" s="2" t="str">
        <f t="shared" si="0"/>
        <v>Cao</v>
      </c>
      <c r="H17" s="2" t="s">
        <v>11</v>
      </c>
      <c r="I17" s="2" t="s">
        <v>13</v>
      </c>
      <c r="J17" s="3">
        <v>45302</v>
      </c>
    </row>
    <row r="18" spans="1:10" ht="14.25" customHeight="1" x14ac:dyDescent="0.3">
      <c r="A18" s="2" t="s">
        <v>35</v>
      </c>
      <c r="B18" s="2" t="s">
        <v>58</v>
      </c>
      <c r="C18" s="2" t="s">
        <v>45</v>
      </c>
      <c r="D18" s="2">
        <v>3</v>
      </c>
      <c r="E18" s="2">
        <v>350000</v>
      </c>
      <c r="F18" s="2">
        <f>Table1[[#This Row],[Quantity]]*Table1[[#This Row],[Unit_Price]]</f>
        <v>1050000</v>
      </c>
      <c r="G18" s="2" t="str">
        <f t="shared" si="0"/>
        <v>Cao</v>
      </c>
      <c r="H18" s="2" t="s">
        <v>6</v>
      </c>
      <c r="I18" s="2" t="s">
        <v>18</v>
      </c>
      <c r="J18" s="4">
        <v>45609</v>
      </c>
    </row>
    <row r="19" spans="1:10" ht="14.25" customHeight="1" x14ac:dyDescent="0.3">
      <c r="A19" s="2" t="s">
        <v>29</v>
      </c>
      <c r="B19" s="2" t="s">
        <v>51</v>
      </c>
      <c r="C19" s="2" t="s">
        <v>45</v>
      </c>
      <c r="D19" s="2">
        <v>6</v>
      </c>
      <c r="E19" s="2">
        <v>120000</v>
      </c>
      <c r="F19" s="2">
        <f>Table1[[#This Row],[Quantity]]*Table1[[#This Row],[Unit_Price]]</f>
        <v>720000</v>
      </c>
      <c r="G19" s="2" t="str">
        <f t="shared" si="0"/>
        <v>Trung bình</v>
      </c>
      <c r="H19" s="2" t="s">
        <v>11</v>
      </c>
      <c r="I19" s="2" t="s">
        <v>12</v>
      </c>
      <c r="J19" s="3">
        <v>45302</v>
      </c>
    </row>
    <row r="20" spans="1:10" ht="14.25" customHeight="1" x14ac:dyDescent="0.3">
      <c r="A20" s="2" t="s">
        <v>36</v>
      </c>
      <c r="B20" s="2" t="s">
        <v>59</v>
      </c>
      <c r="C20" s="2" t="s">
        <v>45</v>
      </c>
      <c r="D20" s="2">
        <v>10</v>
      </c>
      <c r="E20" s="2">
        <v>150000</v>
      </c>
      <c r="F20" s="2">
        <f>Table1[[#This Row],[Quantity]]*Table1[[#This Row],[Unit_Price]]</f>
        <v>1500000</v>
      </c>
      <c r="G20" s="2" t="str">
        <f t="shared" si="0"/>
        <v>Cao</v>
      </c>
      <c r="H20" s="2" t="s">
        <v>6</v>
      </c>
      <c r="I20" s="2" t="s">
        <v>19</v>
      </c>
      <c r="J20" s="3">
        <v>45423</v>
      </c>
    </row>
    <row r="21" spans="1:10" ht="14.25" customHeight="1" x14ac:dyDescent="0.3">
      <c r="A21" s="2" t="s">
        <v>37</v>
      </c>
      <c r="B21" s="2" t="s">
        <v>60</v>
      </c>
      <c r="C21" s="2" t="s">
        <v>53</v>
      </c>
      <c r="D21" s="2">
        <v>8</v>
      </c>
      <c r="E21" s="2">
        <v>180000</v>
      </c>
      <c r="F21" s="2">
        <f>Table1[[#This Row],[Quantity]]*Table1[[#This Row],[Unit_Price]]</f>
        <v>1440000</v>
      </c>
      <c r="G21" s="2" t="str">
        <f t="shared" si="0"/>
        <v>Cao</v>
      </c>
      <c r="H21" s="2" t="s">
        <v>11</v>
      </c>
      <c r="I21" s="2" t="s">
        <v>20</v>
      </c>
      <c r="J21" s="4">
        <v>45619</v>
      </c>
    </row>
    <row r="22" spans="1:10" ht="14.25" customHeight="1" x14ac:dyDescent="0.3">
      <c r="A22" s="2" t="s">
        <v>34</v>
      </c>
      <c r="B22" s="2" t="s">
        <v>57</v>
      </c>
      <c r="C22" s="2" t="s">
        <v>47</v>
      </c>
      <c r="D22" s="2">
        <v>4</v>
      </c>
      <c r="E22" s="2">
        <v>195000</v>
      </c>
      <c r="F22" s="2">
        <f>Table1[[#This Row],[Quantity]]*Table1[[#This Row],[Unit_Price]]</f>
        <v>780000</v>
      </c>
      <c r="G22" s="2" t="str">
        <f t="shared" si="0"/>
        <v>Trung bình</v>
      </c>
      <c r="H22" s="2" t="s">
        <v>11</v>
      </c>
      <c r="I22" s="2" t="s">
        <v>13</v>
      </c>
      <c r="J22" s="3">
        <v>45333</v>
      </c>
    </row>
    <row r="23" spans="1:10" ht="14.25" customHeight="1" x14ac:dyDescent="0.3">
      <c r="A23" s="2" t="s">
        <v>31</v>
      </c>
      <c r="B23" s="2" t="s">
        <v>54</v>
      </c>
      <c r="C23" s="2" t="s">
        <v>53</v>
      </c>
      <c r="D23" s="2">
        <v>6</v>
      </c>
      <c r="E23" s="2">
        <v>220000</v>
      </c>
      <c r="F23" s="2">
        <f>Table1[[#This Row],[Quantity]]*Table1[[#This Row],[Unit_Price]]</f>
        <v>1320000</v>
      </c>
      <c r="G23" s="2" t="str">
        <f t="shared" si="0"/>
        <v>Cao</v>
      </c>
      <c r="H23" s="2" t="s">
        <v>11</v>
      </c>
      <c r="I23" s="2" t="s">
        <v>13</v>
      </c>
      <c r="J23" s="4">
        <v>45611</v>
      </c>
    </row>
    <row r="24" spans="1:10" ht="14.25" customHeight="1" x14ac:dyDescent="0.3">
      <c r="A24" s="2" t="s">
        <v>33</v>
      </c>
      <c r="B24" s="2" t="s">
        <v>56</v>
      </c>
      <c r="C24" s="2" t="s">
        <v>45</v>
      </c>
      <c r="D24" s="2">
        <v>2</v>
      </c>
      <c r="E24" s="2">
        <v>200000</v>
      </c>
      <c r="F24" s="2">
        <f>Table1[[#This Row],[Quantity]]*Table1[[#This Row],[Unit_Price]]</f>
        <v>400000</v>
      </c>
      <c r="G24" s="2" t="str">
        <f t="shared" si="0"/>
        <v>Thấp</v>
      </c>
      <c r="H24" s="2" t="s">
        <v>11</v>
      </c>
      <c r="I24" s="2" t="s">
        <v>16</v>
      </c>
      <c r="J24" s="4">
        <v>45618</v>
      </c>
    </row>
    <row r="25" spans="1:10" ht="14.25" customHeight="1" x14ac:dyDescent="0.3">
      <c r="A25" s="2" t="s">
        <v>38</v>
      </c>
      <c r="B25" s="2" t="s">
        <v>61</v>
      </c>
      <c r="C25" s="2" t="s">
        <v>53</v>
      </c>
      <c r="D25" s="2">
        <v>5</v>
      </c>
      <c r="E25" s="2">
        <v>85000</v>
      </c>
      <c r="F25" s="2">
        <f>Table1[[#This Row],[Quantity]]*Table1[[#This Row],[Unit_Price]]</f>
        <v>425000</v>
      </c>
      <c r="G25" s="2" t="str">
        <f t="shared" si="0"/>
        <v>Thấp</v>
      </c>
      <c r="H25" s="2" t="s">
        <v>11</v>
      </c>
      <c r="I25" s="2" t="s">
        <v>12</v>
      </c>
      <c r="J25" s="4">
        <v>45621</v>
      </c>
    </row>
    <row r="26" spans="1:10" ht="14.25" customHeight="1" x14ac:dyDescent="0.3">
      <c r="A26" s="2" t="s">
        <v>31</v>
      </c>
      <c r="B26" s="2" t="s">
        <v>54</v>
      </c>
      <c r="C26" s="2" t="s">
        <v>53</v>
      </c>
      <c r="D26" s="2">
        <v>9</v>
      </c>
      <c r="E26" s="2">
        <v>220000</v>
      </c>
      <c r="F26" s="2">
        <f>Table1[[#This Row],[Quantity]]*Table1[[#This Row],[Unit_Price]]</f>
        <v>1980000</v>
      </c>
      <c r="G26" s="2" t="str">
        <f t="shared" si="0"/>
        <v>Cao</v>
      </c>
      <c r="H26" s="2" t="s">
        <v>6</v>
      </c>
      <c r="I26" s="2" t="s">
        <v>7</v>
      </c>
      <c r="J26" s="4">
        <v>45620</v>
      </c>
    </row>
    <row r="27" spans="1:10" ht="14.25" customHeight="1" x14ac:dyDescent="0.3">
      <c r="A27" s="2" t="s">
        <v>31</v>
      </c>
      <c r="B27" s="2" t="s">
        <v>54</v>
      </c>
      <c r="C27" s="2" t="s">
        <v>53</v>
      </c>
      <c r="D27" s="2">
        <v>3</v>
      </c>
      <c r="E27" s="2">
        <v>220000</v>
      </c>
      <c r="F27" s="2">
        <f>Table1[[#This Row],[Quantity]]*Table1[[#This Row],[Unit_Price]]</f>
        <v>660000</v>
      </c>
      <c r="G27" s="2" t="str">
        <f t="shared" si="0"/>
        <v>Trung bình</v>
      </c>
      <c r="H27" s="2" t="s">
        <v>6</v>
      </c>
      <c r="I27" s="2" t="s">
        <v>21</v>
      </c>
      <c r="J27" s="4">
        <v>45612</v>
      </c>
    </row>
    <row r="28" spans="1:10" ht="14.25" customHeight="1" x14ac:dyDescent="0.3">
      <c r="A28" s="2" t="s">
        <v>24</v>
      </c>
      <c r="B28" s="2" t="s">
        <v>44</v>
      </c>
      <c r="C28" s="2" t="s">
        <v>45</v>
      </c>
      <c r="D28" s="2">
        <v>4</v>
      </c>
      <c r="E28" s="2">
        <v>280000</v>
      </c>
      <c r="F28" s="2">
        <f>Table1[[#This Row],[Quantity]]*Table1[[#This Row],[Unit_Price]]</f>
        <v>1120000</v>
      </c>
      <c r="G28" s="2" t="str">
        <f t="shared" si="0"/>
        <v>Cao</v>
      </c>
      <c r="H28" s="2" t="s">
        <v>6</v>
      </c>
      <c r="I28" s="2" t="s">
        <v>21</v>
      </c>
      <c r="J28" s="4">
        <v>45623</v>
      </c>
    </row>
    <row r="29" spans="1:10" ht="14.25" customHeight="1" x14ac:dyDescent="0.3">
      <c r="A29" s="2" t="s">
        <v>39</v>
      </c>
      <c r="B29" s="2" t="s">
        <v>62</v>
      </c>
      <c r="C29" s="2" t="s">
        <v>47</v>
      </c>
      <c r="D29" s="2">
        <v>3</v>
      </c>
      <c r="E29" s="2">
        <v>130000</v>
      </c>
      <c r="F29" s="2">
        <f>Table1[[#This Row],[Quantity]]*Table1[[#This Row],[Unit_Price]]</f>
        <v>390000</v>
      </c>
      <c r="G29" s="2" t="str">
        <f t="shared" si="0"/>
        <v>Thấp</v>
      </c>
      <c r="H29" s="2" t="s">
        <v>11</v>
      </c>
      <c r="I29" s="2" t="s">
        <v>15</v>
      </c>
      <c r="J29" s="4">
        <v>45624</v>
      </c>
    </row>
    <row r="30" spans="1:10" ht="14.25" customHeight="1" x14ac:dyDescent="0.3">
      <c r="A30" s="2" t="s">
        <v>35</v>
      </c>
      <c r="B30" s="2" t="s">
        <v>58</v>
      </c>
      <c r="C30" s="2" t="s">
        <v>45</v>
      </c>
      <c r="D30" s="2">
        <v>6</v>
      </c>
      <c r="E30" s="2">
        <v>350000</v>
      </c>
      <c r="F30" s="2">
        <f>Table1[[#This Row],[Quantity]]*Table1[[#This Row],[Unit_Price]]</f>
        <v>2100000</v>
      </c>
      <c r="G30" s="2" t="str">
        <f t="shared" si="0"/>
        <v>Cao</v>
      </c>
      <c r="H30" s="2" t="s">
        <v>8</v>
      </c>
      <c r="I30" s="2" t="s">
        <v>9</v>
      </c>
      <c r="J30" s="3">
        <v>45546</v>
      </c>
    </row>
    <row r="31" spans="1:10" ht="14.25" customHeight="1" x14ac:dyDescent="0.3">
      <c r="A31" s="2" t="s">
        <v>24</v>
      </c>
      <c r="B31" s="2" t="s">
        <v>44</v>
      </c>
      <c r="C31" s="2" t="s">
        <v>45</v>
      </c>
      <c r="D31" s="2">
        <v>6</v>
      </c>
      <c r="E31" s="2">
        <v>280000</v>
      </c>
      <c r="F31" s="2">
        <f>Table1[[#This Row],[Quantity]]*Table1[[#This Row],[Unit_Price]]</f>
        <v>1680000</v>
      </c>
      <c r="G31" s="2" t="str">
        <f t="shared" si="0"/>
        <v>Cao</v>
      </c>
      <c r="H31" s="2" t="s">
        <v>6</v>
      </c>
      <c r="I31" s="2" t="s">
        <v>18</v>
      </c>
      <c r="J31" s="4">
        <v>45609</v>
      </c>
    </row>
    <row r="32" spans="1:10" ht="14.25" customHeight="1" x14ac:dyDescent="0.3">
      <c r="A32" s="2" t="s">
        <v>25</v>
      </c>
      <c r="B32" s="2" t="s">
        <v>46</v>
      </c>
      <c r="C32" s="2" t="s">
        <v>47</v>
      </c>
      <c r="D32" s="2">
        <v>5</v>
      </c>
      <c r="E32" s="2">
        <v>280000</v>
      </c>
      <c r="F32" s="2">
        <f>Table1[[#This Row],[Quantity]]*Table1[[#This Row],[Unit_Price]]</f>
        <v>1400000</v>
      </c>
      <c r="G32" s="2" t="str">
        <f t="shared" si="0"/>
        <v>Cao</v>
      </c>
      <c r="H32" s="2" t="s">
        <v>6</v>
      </c>
      <c r="I32" s="2" t="s">
        <v>21</v>
      </c>
      <c r="J32" s="4">
        <v>45626</v>
      </c>
    </row>
    <row r="33" spans="1:10" ht="14.25" customHeight="1" x14ac:dyDescent="0.3">
      <c r="A33" s="2" t="s">
        <v>40</v>
      </c>
      <c r="B33" s="2" t="s">
        <v>63</v>
      </c>
      <c r="C33" s="2" t="s">
        <v>53</v>
      </c>
      <c r="D33" s="2">
        <v>8</v>
      </c>
      <c r="E33" s="2">
        <v>95000</v>
      </c>
      <c r="F33" s="2">
        <f>Table1[[#This Row],[Quantity]]*Table1[[#This Row],[Unit_Price]]</f>
        <v>760000</v>
      </c>
      <c r="G33" s="2" t="str">
        <f t="shared" si="0"/>
        <v>Trung bình</v>
      </c>
      <c r="H33" s="2" t="s">
        <v>6</v>
      </c>
      <c r="I33" s="2" t="s">
        <v>17</v>
      </c>
      <c r="J33" s="4">
        <v>45610</v>
      </c>
    </row>
    <row r="34" spans="1:10" ht="14.25" customHeight="1" x14ac:dyDescent="0.3">
      <c r="A34" s="2" t="s">
        <v>36</v>
      </c>
      <c r="B34" s="2" t="s">
        <v>59</v>
      </c>
      <c r="C34" s="2" t="s">
        <v>45</v>
      </c>
      <c r="D34" s="2">
        <v>10</v>
      </c>
      <c r="E34" s="2">
        <v>150000</v>
      </c>
      <c r="F34" s="2">
        <f>Table1[[#This Row],[Quantity]]*Table1[[#This Row],[Unit_Price]]</f>
        <v>1500000</v>
      </c>
      <c r="G34" s="2" t="str">
        <f t="shared" si="0"/>
        <v>Cao</v>
      </c>
      <c r="H34" s="2" t="s">
        <v>8</v>
      </c>
      <c r="I34" s="2" t="s">
        <v>22</v>
      </c>
      <c r="J34" s="3">
        <v>45637</v>
      </c>
    </row>
    <row r="35" spans="1:10" ht="14.25" customHeight="1" x14ac:dyDescent="0.3">
      <c r="A35" s="2" t="s">
        <v>36</v>
      </c>
      <c r="B35" s="2" t="s">
        <v>59</v>
      </c>
      <c r="C35" s="2" t="s">
        <v>45</v>
      </c>
      <c r="D35" s="2">
        <v>9</v>
      </c>
      <c r="E35" s="2">
        <v>150000</v>
      </c>
      <c r="F35" s="2">
        <f>Table1[[#This Row],[Quantity]]*Table1[[#This Row],[Unit_Price]]</f>
        <v>1350000</v>
      </c>
      <c r="G35" s="2" t="str">
        <f t="shared" si="0"/>
        <v>Cao</v>
      </c>
      <c r="H35" s="2" t="s">
        <v>11</v>
      </c>
      <c r="I35" s="2" t="s">
        <v>12</v>
      </c>
      <c r="J35" s="4">
        <v>45609</v>
      </c>
    </row>
    <row r="36" spans="1:10" ht="14.25" customHeight="1" x14ac:dyDescent="0.3">
      <c r="A36" s="2" t="s">
        <v>27</v>
      </c>
      <c r="B36" s="2" t="s">
        <v>49</v>
      </c>
      <c r="C36" s="2" t="s">
        <v>45</v>
      </c>
      <c r="D36" s="2">
        <v>5</v>
      </c>
      <c r="E36" s="2">
        <v>550000</v>
      </c>
      <c r="F36" s="2">
        <f>Table1[[#This Row],[Quantity]]*Table1[[#This Row],[Unit_Price]]</f>
        <v>2750000</v>
      </c>
      <c r="G36" s="2" t="str">
        <f t="shared" si="0"/>
        <v>Cao</v>
      </c>
      <c r="H36" s="2" t="s">
        <v>11</v>
      </c>
      <c r="I36" s="2" t="s">
        <v>15</v>
      </c>
      <c r="J36" s="4">
        <v>45621</v>
      </c>
    </row>
    <row r="37" spans="1:10" ht="14.25" customHeight="1" x14ac:dyDescent="0.3">
      <c r="A37" s="2" t="s">
        <v>24</v>
      </c>
      <c r="B37" s="2" t="s">
        <v>44</v>
      </c>
      <c r="C37" s="2" t="s">
        <v>45</v>
      </c>
      <c r="D37" s="2">
        <v>3</v>
      </c>
      <c r="E37" s="2">
        <v>280000</v>
      </c>
      <c r="F37" s="2">
        <f>Table1[[#This Row],[Quantity]]*Table1[[#This Row],[Unit_Price]]</f>
        <v>840000</v>
      </c>
      <c r="G37" s="2" t="str">
        <f t="shared" si="0"/>
        <v>Trung bình</v>
      </c>
      <c r="H37" s="2" t="s">
        <v>11</v>
      </c>
      <c r="I37" s="2" t="s">
        <v>13</v>
      </c>
      <c r="J37" s="4">
        <v>45619</v>
      </c>
    </row>
    <row r="38" spans="1:10" ht="14.25" customHeight="1" x14ac:dyDescent="0.3">
      <c r="A38" s="2" t="s">
        <v>27</v>
      </c>
      <c r="B38" s="2" t="s">
        <v>49</v>
      </c>
      <c r="C38" s="2" t="s">
        <v>45</v>
      </c>
      <c r="D38" s="2">
        <v>8</v>
      </c>
      <c r="E38" s="2">
        <v>550000</v>
      </c>
      <c r="F38" s="2">
        <f>Table1[[#This Row],[Quantity]]*Table1[[#This Row],[Unit_Price]]</f>
        <v>4400000</v>
      </c>
      <c r="G38" s="2" t="str">
        <f t="shared" si="0"/>
        <v>Cao</v>
      </c>
      <c r="H38" s="2" t="s">
        <v>8</v>
      </c>
      <c r="I38" s="2" t="s">
        <v>9</v>
      </c>
      <c r="J38" s="3">
        <v>45362</v>
      </c>
    </row>
    <row r="39" spans="1:10" ht="14.25" customHeight="1" x14ac:dyDescent="0.3">
      <c r="A39" s="2" t="s">
        <v>33</v>
      </c>
      <c r="B39" s="2" t="s">
        <v>56</v>
      </c>
      <c r="C39" s="2" t="s">
        <v>45</v>
      </c>
      <c r="D39" s="2">
        <v>4</v>
      </c>
      <c r="E39" s="2">
        <v>200000</v>
      </c>
      <c r="F39" s="2">
        <f>Table1[[#This Row],[Quantity]]*Table1[[#This Row],[Unit_Price]]</f>
        <v>800000</v>
      </c>
      <c r="G39" s="2" t="str">
        <f t="shared" si="0"/>
        <v>Trung bình</v>
      </c>
      <c r="H39" s="2" t="s">
        <v>11</v>
      </c>
      <c r="I39" s="2" t="s">
        <v>20</v>
      </c>
      <c r="J39" s="4">
        <v>45617</v>
      </c>
    </row>
    <row r="40" spans="1:10" ht="14.25" customHeight="1" x14ac:dyDescent="0.3">
      <c r="A40" s="2" t="s">
        <v>35</v>
      </c>
      <c r="B40" s="2" t="s">
        <v>58</v>
      </c>
      <c r="C40" s="2" t="s">
        <v>45</v>
      </c>
      <c r="D40" s="2">
        <v>6</v>
      </c>
      <c r="E40" s="2">
        <v>350000</v>
      </c>
      <c r="F40" s="2">
        <f>Table1[[#This Row],[Quantity]]*Table1[[#This Row],[Unit_Price]]</f>
        <v>2100000</v>
      </c>
      <c r="G40" s="2" t="str">
        <f t="shared" si="0"/>
        <v>Cao</v>
      </c>
      <c r="H40" s="2" t="s">
        <v>6</v>
      </c>
      <c r="I40" s="2" t="s">
        <v>19</v>
      </c>
      <c r="J40" s="3">
        <v>45484</v>
      </c>
    </row>
    <row r="41" spans="1:10" ht="14.25" customHeight="1" x14ac:dyDescent="0.3">
      <c r="A41" s="2" t="s">
        <v>40</v>
      </c>
      <c r="B41" s="2" t="s">
        <v>63</v>
      </c>
      <c r="C41" s="2" t="s">
        <v>53</v>
      </c>
      <c r="D41" s="2">
        <v>9</v>
      </c>
      <c r="E41" s="2">
        <v>95000</v>
      </c>
      <c r="F41" s="2">
        <f>Table1[[#This Row],[Quantity]]*Table1[[#This Row],[Unit_Price]]</f>
        <v>855000</v>
      </c>
      <c r="G41" s="2" t="str">
        <f t="shared" si="0"/>
        <v>Trung bình</v>
      </c>
      <c r="H41" s="2" t="s">
        <v>8</v>
      </c>
      <c r="I41" s="2" t="s">
        <v>23</v>
      </c>
      <c r="J41" s="4">
        <v>45623</v>
      </c>
    </row>
    <row r="42" spans="1:10" ht="14.25" customHeight="1" x14ac:dyDescent="0.3">
      <c r="A42" s="2" t="s">
        <v>37</v>
      </c>
      <c r="B42" s="2" t="s">
        <v>60</v>
      </c>
      <c r="C42" s="2" t="s">
        <v>53</v>
      </c>
      <c r="D42" s="2">
        <v>7</v>
      </c>
      <c r="E42" s="2">
        <v>180000</v>
      </c>
      <c r="F42" s="2">
        <f>Table1[[#This Row],[Quantity]]*Table1[[#This Row],[Unit_Price]]</f>
        <v>1260000</v>
      </c>
      <c r="G42" s="2" t="str">
        <f t="shared" si="0"/>
        <v>Cao</v>
      </c>
      <c r="H42" s="2" t="s">
        <v>6</v>
      </c>
      <c r="I42" s="2" t="s">
        <v>17</v>
      </c>
      <c r="J42" s="4">
        <v>45620</v>
      </c>
    </row>
    <row r="43" spans="1:10" ht="14.25" customHeight="1" x14ac:dyDescent="0.3">
      <c r="A43" s="2" t="s">
        <v>38</v>
      </c>
      <c r="B43" s="2" t="s">
        <v>61</v>
      </c>
      <c r="C43" s="2" t="s">
        <v>53</v>
      </c>
      <c r="D43" s="2">
        <v>9</v>
      </c>
      <c r="E43" s="2">
        <v>85000</v>
      </c>
      <c r="F43" s="2">
        <f>Table1[[#This Row],[Quantity]]*Table1[[#This Row],[Unit_Price]]</f>
        <v>765000</v>
      </c>
      <c r="G43" s="2" t="str">
        <f t="shared" si="0"/>
        <v>Trung bình</v>
      </c>
      <c r="H43" s="2" t="s">
        <v>6</v>
      </c>
      <c r="I43" s="2" t="s">
        <v>19</v>
      </c>
      <c r="J43" s="4">
        <v>45613</v>
      </c>
    </row>
    <row r="44" spans="1:10" ht="14.25" customHeight="1" x14ac:dyDescent="0.3">
      <c r="A44" s="2" t="s">
        <v>30</v>
      </c>
      <c r="B44" s="2" t="s">
        <v>52</v>
      </c>
      <c r="C44" s="2" t="s">
        <v>53</v>
      </c>
      <c r="D44" s="2">
        <v>1</v>
      </c>
      <c r="E44" s="2">
        <v>180000</v>
      </c>
      <c r="F44" s="2">
        <f>Table1[[#This Row],[Quantity]]*Table1[[#This Row],[Unit_Price]]</f>
        <v>180000</v>
      </c>
      <c r="G44" s="2" t="str">
        <f t="shared" si="0"/>
        <v>Thấp</v>
      </c>
      <c r="H44" s="2" t="s">
        <v>6</v>
      </c>
      <c r="I44" s="2" t="s">
        <v>10</v>
      </c>
      <c r="J44" s="4">
        <v>45625</v>
      </c>
    </row>
    <row r="45" spans="1:10" ht="14.25" customHeight="1" x14ac:dyDescent="0.3">
      <c r="A45" s="2" t="s">
        <v>39</v>
      </c>
      <c r="B45" s="2" t="s">
        <v>62</v>
      </c>
      <c r="C45" s="2" t="s">
        <v>47</v>
      </c>
      <c r="D45" s="2">
        <v>6</v>
      </c>
      <c r="E45" s="2">
        <v>130000</v>
      </c>
      <c r="F45" s="2">
        <f>Table1[[#This Row],[Quantity]]*Table1[[#This Row],[Unit_Price]]</f>
        <v>780000</v>
      </c>
      <c r="G45" s="2" t="str">
        <f t="shared" si="0"/>
        <v>Trung bình</v>
      </c>
      <c r="H45" s="2" t="s">
        <v>8</v>
      </c>
      <c r="I45" s="2" t="s">
        <v>22</v>
      </c>
      <c r="J45" s="4">
        <v>45617</v>
      </c>
    </row>
    <row r="46" spans="1:10" ht="14.25" customHeight="1" x14ac:dyDescent="0.3">
      <c r="A46" s="2" t="s">
        <v>38</v>
      </c>
      <c r="B46" s="2" t="s">
        <v>61</v>
      </c>
      <c r="C46" s="2" t="s">
        <v>53</v>
      </c>
      <c r="D46" s="2">
        <v>7</v>
      </c>
      <c r="E46" s="2">
        <v>85000</v>
      </c>
      <c r="F46" s="2">
        <f>Table1[[#This Row],[Quantity]]*Table1[[#This Row],[Unit_Price]]</f>
        <v>595000</v>
      </c>
      <c r="G46" s="2" t="str">
        <f t="shared" si="0"/>
        <v>Trung bình</v>
      </c>
      <c r="H46" s="2" t="s">
        <v>8</v>
      </c>
      <c r="I46" s="2" t="s">
        <v>9</v>
      </c>
      <c r="J46" s="3">
        <v>45484</v>
      </c>
    </row>
    <row r="47" spans="1:10" ht="14.25" customHeight="1" x14ac:dyDescent="0.3">
      <c r="A47" s="2" t="s">
        <v>39</v>
      </c>
      <c r="B47" s="2" t="s">
        <v>62</v>
      </c>
      <c r="C47" s="2" t="s">
        <v>47</v>
      </c>
      <c r="D47" s="2">
        <v>9</v>
      </c>
      <c r="E47" s="2">
        <v>130000</v>
      </c>
      <c r="F47" s="2">
        <f>Table1[[#This Row],[Quantity]]*Table1[[#This Row],[Unit_Price]]</f>
        <v>1170000</v>
      </c>
      <c r="G47" s="2" t="str">
        <f t="shared" si="0"/>
        <v>Cao</v>
      </c>
      <c r="H47" s="2" t="s">
        <v>11</v>
      </c>
      <c r="I47" s="2" t="s">
        <v>13</v>
      </c>
      <c r="J47" s="3">
        <v>45393</v>
      </c>
    </row>
    <row r="48" spans="1:10" ht="14.25" customHeight="1" x14ac:dyDescent="0.3">
      <c r="A48" s="2" t="s">
        <v>41</v>
      </c>
      <c r="B48" s="2" t="s">
        <v>64</v>
      </c>
      <c r="C48" s="2" t="s">
        <v>47</v>
      </c>
      <c r="D48" s="2">
        <v>6</v>
      </c>
      <c r="E48" s="2">
        <v>350000</v>
      </c>
      <c r="F48" s="2">
        <f>Table1[[#This Row],[Quantity]]*Table1[[#This Row],[Unit_Price]]</f>
        <v>2100000</v>
      </c>
      <c r="G48" s="2" t="str">
        <f t="shared" si="0"/>
        <v>Cao</v>
      </c>
      <c r="H48" s="2" t="s">
        <v>6</v>
      </c>
      <c r="I48" s="2" t="s">
        <v>21</v>
      </c>
      <c r="J48" s="3">
        <v>45637</v>
      </c>
    </row>
    <row r="49" spans="1:10" ht="14.25" customHeight="1" x14ac:dyDescent="0.3">
      <c r="A49" s="2" t="s">
        <v>42</v>
      </c>
      <c r="B49" s="2" t="s">
        <v>65</v>
      </c>
      <c r="C49" s="2" t="s">
        <v>53</v>
      </c>
      <c r="D49" s="2">
        <v>4</v>
      </c>
      <c r="E49" s="2">
        <v>75000</v>
      </c>
      <c r="F49" s="2">
        <f>Table1[[#This Row],[Quantity]]*Table1[[#This Row],[Unit_Price]]</f>
        <v>300000</v>
      </c>
      <c r="G49" s="2" t="str">
        <f t="shared" si="0"/>
        <v>Thấp</v>
      </c>
      <c r="H49" s="2" t="s">
        <v>6</v>
      </c>
      <c r="I49" s="2" t="s">
        <v>10</v>
      </c>
      <c r="J49" s="4">
        <v>45625</v>
      </c>
    </row>
    <row r="50" spans="1:10" ht="14.25" customHeight="1" x14ac:dyDescent="0.3">
      <c r="A50" s="2" t="s">
        <v>37</v>
      </c>
      <c r="B50" s="2" t="s">
        <v>60</v>
      </c>
      <c r="C50" s="2" t="s">
        <v>53</v>
      </c>
      <c r="D50" s="2">
        <v>10</v>
      </c>
      <c r="E50" s="2">
        <v>180000</v>
      </c>
      <c r="F50" s="2">
        <f>Table1[[#This Row],[Quantity]]*Table1[[#This Row],[Unit_Price]]</f>
        <v>1800000</v>
      </c>
      <c r="G50" s="2" t="str">
        <f t="shared" si="0"/>
        <v>Cao</v>
      </c>
      <c r="H50" s="2" t="s">
        <v>11</v>
      </c>
      <c r="I50" s="2" t="s">
        <v>16</v>
      </c>
      <c r="J50" s="4">
        <v>45611</v>
      </c>
    </row>
    <row r="51" spans="1:10" ht="14.25" customHeight="1" x14ac:dyDescent="0.3">
      <c r="A51" s="2" t="s">
        <v>28</v>
      </c>
      <c r="B51" s="2" t="s">
        <v>50</v>
      </c>
      <c r="C51" s="2" t="s">
        <v>47</v>
      </c>
      <c r="D51" s="2">
        <v>2</v>
      </c>
      <c r="E51" s="2">
        <v>220000</v>
      </c>
      <c r="F51" s="2">
        <f>Table1[[#This Row],[Quantity]]*Table1[[#This Row],[Unit_Price]]</f>
        <v>440000</v>
      </c>
      <c r="G51" s="2" t="str">
        <f t="shared" si="0"/>
        <v>Thấp</v>
      </c>
      <c r="H51" s="2" t="s">
        <v>8</v>
      </c>
      <c r="I51" s="2" t="s">
        <v>9</v>
      </c>
      <c r="J51" s="4">
        <v>45611</v>
      </c>
    </row>
    <row r="52" spans="1:10" ht="14.25" customHeight="1" x14ac:dyDescent="0.3">
      <c r="A52" s="2" t="s">
        <v>31</v>
      </c>
      <c r="B52" s="2" t="s">
        <v>54</v>
      </c>
      <c r="C52" s="2" t="s">
        <v>53</v>
      </c>
      <c r="D52" s="2">
        <v>6</v>
      </c>
      <c r="E52" s="2">
        <v>220000</v>
      </c>
      <c r="F52" s="2">
        <f>Table1[[#This Row],[Quantity]]*Table1[[#This Row],[Unit_Price]]</f>
        <v>1320000</v>
      </c>
      <c r="G52" s="2" t="str">
        <f t="shared" si="0"/>
        <v>Cao</v>
      </c>
      <c r="H52" s="2" t="s">
        <v>11</v>
      </c>
      <c r="I52" s="2" t="s">
        <v>15</v>
      </c>
      <c r="J52" s="3">
        <v>45393</v>
      </c>
    </row>
    <row r="53" spans="1:10" ht="14.25" customHeight="1" x14ac:dyDescent="0.3">
      <c r="A53" s="2" t="s">
        <v>42</v>
      </c>
      <c r="B53" s="2" t="s">
        <v>65</v>
      </c>
      <c r="C53" s="2" t="s">
        <v>53</v>
      </c>
      <c r="D53" s="2">
        <v>5</v>
      </c>
      <c r="E53" s="2">
        <v>75000</v>
      </c>
      <c r="F53" s="2">
        <f>Table1[[#This Row],[Quantity]]*Table1[[#This Row],[Unit_Price]]</f>
        <v>375000</v>
      </c>
      <c r="G53" s="2" t="str">
        <f t="shared" si="0"/>
        <v>Thấp</v>
      </c>
      <c r="H53" s="2" t="s">
        <v>11</v>
      </c>
      <c r="I53" s="2" t="s">
        <v>12</v>
      </c>
      <c r="J53" s="4">
        <v>45613</v>
      </c>
    </row>
    <row r="54" spans="1:10" ht="14.25" customHeight="1" x14ac:dyDescent="0.3">
      <c r="A54" s="2" t="s">
        <v>40</v>
      </c>
      <c r="B54" s="2" t="s">
        <v>63</v>
      </c>
      <c r="C54" s="2" t="s">
        <v>53</v>
      </c>
      <c r="D54" s="2">
        <v>6</v>
      </c>
      <c r="E54" s="2">
        <v>95000</v>
      </c>
      <c r="F54" s="2">
        <f>Table1[[#This Row],[Quantity]]*Table1[[#This Row],[Unit_Price]]</f>
        <v>570000</v>
      </c>
      <c r="G54" s="2" t="str">
        <f t="shared" si="0"/>
        <v>Trung bình</v>
      </c>
      <c r="H54" s="2" t="s">
        <v>11</v>
      </c>
      <c r="I54" s="2" t="s">
        <v>15</v>
      </c>
      <c r="J54" s="4">
        <v>45619</v>
      </c>
    </row>
    <row r="55" spans="1:10" ht="14.25" customHeight="1" x14ac:dyDescent="0.3">
      <c r="A55" s="2" t="s">
        <v>42</v>
      </c>
      <c r="B55" s="2" t="s">
        <v>65</v>
      </c>
      <c r="C55" s="2" t="s">
        <v>53</v>
      </c>
      <c r="D55" s="2">
        <v>3</v>
      </c>
      <c r="E55" s="2">
        <v>75000</v>
      </c>
      <c r="F55" s="2">
        <f>Table1[[#This Row],[Quantity]]*Table1[[#This Row],[Unit_Price]]</f>
        <v>225000</v>
      </c>
      <c r="G55" s="2" t="str">
        <f t="shared" si="0"/>
        <v>Thấp</v>
      </c>
      <c r="H55" s="2" t="s">
        <v>6</v>
      </c>
      <c r="I55" s="2" t="s">
        <v>7</v>
      </c>
      <c r="J55" s="4">
        <v>45626</v>
      </c>
    </row>
    <row r="56" spans="1:10" ht="14.25" customHeight="1" x14ac:dyDescent="0.3">
      <c r="A56" s="2" t="s">
        <v>30</v>
      </c>
      <c r="B56" s="2" t="s">
        <v>52</v>
      </c>
      <c r="C56" s="2" t="s">
        <v>53</v>
      </c>
      <c r="D56" s="2">
        <v>10</v>
      </c>
      <c r="E56" s="2">
        <v>180000</v>
      </c>
      <c r="F56" s="2">
        <f>Table1[[#This Row],[Quantity]]*Table1[[#This Row],[Unit_Price]]</f>
        <v>1800000</v>
      </c>
      <c r="G56" s="2" t="str">
        <f t="shared" si="0"/>
        <v>Cao</v>
      </c>
      <c r="H56" s="2" t="s">
        <v>8</v>
      </c>
      <c r="I56" s="2" t="s">
        <v>23</v>
      </c>
      <c r="J56" s="4">
        <v>45613</v>
      </c>
    </row>
    <row r="57" spans="1:10" ht="14.25" customHeight="1" x14ac:dyDescent="0.3">
      <c r="A57" s="2" t="s">
        <v>30</v>
      </c>
      <c r="B57" s="2" t="s">
        <v>52</v>
      </c>
      <c r="C57" s="2" t="s">
        <v>53</v>
      </c>
      <c r="D57" s="2">
        <v>1</v>
      </c>
      <c r="E57" s="2">
        <v>180000</v>
      </c>
      <c r="F57" s="2">
        <f>Table1[[#This Row],[Quantity]]*Table1[[#This Row],[Unit_Price]]</f>
        <v>180000</v>
      </c>
      <c r="G57" s="2" t="str">
        <f t="shared" si="0"/>
        <v>Thấp</v>
      </c>
      <c r="H57" s="2" t="s">
        <v>6</v>
      </c>
      <c r="I57" s="2" t="s">
        <v>10</v>
      </c>
      <c r="J57" s="4">
        <v>45618</v>
      </c>
    </row>
    <row r="58" spans="1:10" ht="14.25" customHeight="1" x14ac:dyDescent="0.3">
      <c r="A58" s="2" t="s">
        <v>35</v>
      </c>
      <c r="B58" s="2" t="s">
        <v>58</v>
      </c>
      <c r="C58" s="2" t="s">
        <v>45</v>
      </c>
      <c r="D58" s="2">
        <v>7</v>
      </c>
      <c r="E58" s="2">
        <v>350000</v>
      </c>
      <c r="F58" s="2">
        <f>Table1[[#This Row],[Quantity]]*Table1[[#This Row],[Unit_Price]]</f>
        <v>2450000</v>
      </c>
      <c r="G58" s="2" t="str">
        <f t="shared" si="0"/>
        <v>Cao</v>
      </c>
      <c r="H58" s="2" t="s">
        <v>11</v>
      </c>
      <c r="I58" s="2" t="s">
        <v>16</v>
      </c>
      <c r="J58" s="4">
        <v>45609</v>
      </c>
    </row>
    <row r="59" spans="1:10" ht="14.25" customHeight="1" x14ac:dyDescent="0.3">
      <c r="A59" s="2" t="s">
        <v>41</v>
      </c>
      <c r="B59" s="2" t="s">
        <v>64</v>
      </c>
      <c r="C59" s="2" t="s">
        <v>47</v>
      </c>
      <c r="D59" s="2">
        <v>5</v>
      </c>
      <c r="E59" s="2">
        <v>350000</v>
      </c>
      <c r="F59" s="2">
        <f>Table1[[#This Row],[Quantity]]*Table1[[#This Row],[Unit_Price]]</f>
        <v>1750000</v>
      </c>
      <c r="G59" s="2" t="str">
        <f t="shared" si="0"/>
        <v>Cao</v>
      </c>
      <c r="H59" s="2" t="s">
        <v>8</v>
      </c>
      <c r="I59" s="2" t="s">
        <v>22</v>
      </c>
      <c r="J59" s="4">
        <v>45616</v>
      </c>
    </row>
    <row r="60" spans="1:10" ht="14.25" customHeight="1" x14ac:dyDescent="0.3">
      <c r="A60" s="2" t="s">
        <v>25</v>
      </c>
      <c r="B60" s="2" t="s">
        <v>46</v>
      </c>
      <c r="C60" s="2" t="s">
        <v>47</v>
      </c>
      <c r="D60" s="2">
        <v>8</v>
      </c>
      <c r="E60" s="2">
        <v>280000</v>
      </c>
      <c r="F60" s="2">
        <f>Table1[[#This Row],[Quantity]]*Table1[[#This Row],[Unit_Price]]</f>
        <v>2240000</v>
      </c>
      <c r="G60" s="2" t="str">
        <f t="shared" si="0"/>
        <v>Cao</v>
      </c>
      <c r="H60" s="2" t="s">
        <v>8</v>
      </c>
      <c r="I60" s="2" t="s">
        <v>22</v>
      </c>
      <c r="J60" s="4">
        <v>45624</v>
      </c>
    </row>
    <row r="61" spans="1:10" ht="14.25" customHeight="1" x14ac:dyDescent="0.3">
      <c r="A61" s="2" t="s">
        <v>39</v>
      </c>
      <c r="B61" s="2" t="s">
        <v>62</v>
      </c>
      <c r="C61" s="2" t="s">
        <v>47</v>
      </c>
      <c r="D61" s="2">
        <v>2</v>
      </c>
      <c r="E61" s="2">
        <v>130000</v>
      </c>
      <c r="F61" s="2">
        <f>Table1[[#This Row],[Quantity]]*Table1[[#This Row],[Unit_Price]]</f>
        <v>260000</v>
      </c>
      <c r="G61" s="2" t="str">
        <f t="shared" si="0"/>
        <v>Thấp</v>
      </c>
      <c r="H61" s="2" t="s">
        <v>8</v>
      </c>
      <c r="I61" s="2" t="s">
        <v>22</v>
      </c>
      <c r="J61" s="4">
        <v>45610</v>
      </c>
    </row>
    <row r="62" spans="1:10" ht="14.25" customHeight="1" x14ac:dyDescent="0.3">
      <c r="A62" s="2" t="s">
        <v>43</v>
      </c>
      <c r="B62" s="2" t="s">
        <v>66</v>
      </c>
      <c r="C62" s="2" t="s">
        <v>53</v>
      </c>
      <c r="D62" s="2">
        <v>4</v>
      </c>
      <c r="E62" s="2">
        <v>250000</v>
      </c>
      <c r="F62" s="2">
        <f>Table1[[#This Row],[Quantity]]*Table1[[#This Row],[Unit_Price]]</f>
        <v>1000000</v>
      </c>
      <c r="G62" s="2" t="str">
        <f t="shared" si="0"/>
        <v>Cao</v>
      </c>
      <c r="H62" s="2" t="s">
        <v>6</v>
      </c>
      <c r="I62" s="2" t="s">
        <v>10</v>
      </c>
      <c r="J62" s="4">
        <v>45615</v>
      </c>
    </row>
    <row r="63" spans="1:10" ht="14.25" customHeight="1" x14ac:dyDescent="0.3">
      <c r="A63" s="2" t="s">
        <v>30</v>
      </c>
      <c r="B63" s="2" t="s">
        <v>52</v>
      </c>
      <c r="C63" s="2" t="s">
        <v>53</v>
      </c>
      <c r="D63" s="2">
        <v>10</v>
      </c>
      <c r="E63" s="2">
        <v>180000</v>
      </c>
      <c r="F63" s="2">
        <f>Table1[[#This Row],[Quantity]]*Table1[[#This Row],[Unit_Price]]</f>
        <v>1800000</v>
      </c>
      <c r="G63" s="2" t="str">
        <f t="shared" si="0"/>
        <v>Cao</v>
      </c>
      <c r="H63" s="2" t="s">
        <v>6</v>
      </c>
      <c r="I63" s="2" t="s">
        <v>17</v>
      </c>
      <c r="J63" s="4">
        <v>45622</v>
      </c>
    </row>
    <row r="64" spans="1:10" ht="14.25" customHeight="1" x14ac:dyDescent="0.3">
      <c r="A64" s="2" t="s">
        <v>29</v>
      </c>
      <c r="B64" s="2" t="s">
        <v>51</v>
      </c>
      <c r="C64" s="2" t="s">
        <v>45</v>
      </c>
      <c r="D64" s="2">
        <v>1</v>
      </c>
      <c r="E64" s="2">
        <v>120000</v>
      </c>
      <c r="F64" s="2">
        <f>Table1[[#This Row],[Quantity]]*Table1[[#This Row],[Unit_Price]]</f>
        <v>120000</v>
      </c>
      <c r="G64" s="2" t="str">
        <f t="shared" si="0"/>
        <v>Thấp</v>
      </c>
      <c r="H64" s="2" t="s">
        <v>6</v>
      </c>
      <c r="I64" s="2" t="s">
        <v>10</v>
      </c>
      <c r="J64" s="4">
        <v>45620</v>
      </c>
    </row>
    <row r="65" spans="1:10" ht="14.25" customHeight="1" x14ac:dyDescent="0.3">
      <c r="A65" s="2" t="s">
        <v>34</v>
      </c>
      <c r="B65" s="2" t="s">
        <v>57</v>
      </c>
      <c r="C65" s="2" t="s">
        <v>47</v>
      </c>
      <c r="D65" s="2">
        <v>4</v>
      </c>
      <c r="E65" s="2">
        <v>195000</v>
      </c>
      <c r="F65" s="2">
        <f>Table1[[#This Row],[Quantity]]*Table1[[#This Row],[Unit_Price]]</f>
        <v>780000</v>
      </c>
      <c r="G65" s="2" t="str">
        <f t="shared" si="0"/>
        <v>Trung bình</v>
      </c>
      <c r="H65" s="2" t="s">
        <v>8</v>
      </c>
      <c r="I65" s="2" t="s">
        <v>23</v>
      </c>
      <c r="J65" s="4">
        <v>45617</v>
      </c>
    </row>
    <row r="66" spans="1:10" ht="14.25" customHeight="1" x14ac:dyDescent="0.3">
      <c r="A66" s="2" t="s">
        <v>31</v>
      </c>
      <c r="B66" s="2" t="s">
        <v>54</v>
      </c>
      <c r="C66" s="2" t="s">
        <v>53</v>
      </c>
      <c r="D66" s="2">
        <v>7</v>
      </c>
      <c r="E66" s="2">
        <v>220000</v>
      </c>
      <c r="F66" s="2">
        <f>Table1[[#This Row],[Quantity]]*Table1[[#This Row],[Unit_Price]]</f>
        <v>1540000</v>
      </c>
      <c r="G66" s="2" t="str">
        <f t="shared" ref="G66:G129" si="1">_xlfn.IFS(F66&gt;=1000000,"Cao",F66&gt;=500000,"Trung bình",F66&lt;500000,"Thấp")</f>
        <v>Cao</v>
      </c>
      <c r="H66" s="2" t="s">
        <v>11</v>
      </c>
      <c r="I66" s="2" t="s">
        <v>16</v>
      </c>
      <c r="J66" s="3">
        <v>45576</v>
      </c>
    </row>
    <row r="67" spans="1:10" ht="14.25" customHeight="1" x14ac:dyDescent="0.3">
      <c r="A67" s="2" t="s">
        <v>41</v>
      </c>
      <c r="B67" s="2" t="s">
        <v>64</v>
      </c>
      <c r="C67" s="2" t="s">
        <v>47</v>
      </c>
      <c r="D67" s="2">
        <v>7</v>
      </c>
      <c r="E67" s="2">
        <v>350000</v>
      </c>
      <c r="F67" s="2">
        <f>Table1[[#This Row],[Quantity]]*Table1[[#This Row],[Unit_Price]]</f>
        <v>2450000</v>
      </c>
      <c r="G67" s="2" t="str">
        <f t="shared" si="1"/>
        <v>Cao</v>
      </c>
      <c r="H67" s="2" t="s">
        <v>11</v>
      </c>
      <c r="I67" s="2" t="s">
        <v>20</v>
      </c>
      <c r="J67" s="3">
        <v>45423</v>
      </c>
    </row>
    <row r="68" spans="1:10" ht="14.25" customHeight="1" x14ac:dyDescent="0.3">
      <c r="A68" s="2" t="s">
        <v>43</v>
      </c>
      <c r="B68" s="2" t="s">
        <v>66</v>
      </c>
      <c r="C68" s="2" t="s">
        <v>53</v>
      </c>
      <c r="D68" s="2">
        <v>5</v>
      </c>
      <c r="E68" s="2">
        <v>250000</v>
      </c>
      <c r="F68" s="2">
        <f>Table1[[#This Row],[Quantity]]*Table1[[#This Row],[Unit_Price]]</f>
        <v>1250000</v>
      </c>
      <c r="G68" s="2" t="str">
        <f t="shared" si="1"/>
        <v>Cao</v>
      </c>
      <c r="H68" s="2" t="s">
        <v>6</v>
      </c>
      <c r="I68" s="2" t="s">
        <v>21</v>
      </c>
      <c r="J68" s="4">
        <v>45616</v>
      </c>
    </row>
    <row r="69" spans="1:10" ht="14.25" customHeight="1" x14ac:dyDescent="0.3">
      <c r="A69" s="2" t="s">
        <v>32</v>
      </c>
      <c r="B69" s="2" t="s">
        <v>55</v>
      </c>
      <c r="C69" s="2" t="s">
        <v>45</v>
      </c>
      <c r="D69" s="2">
        <v>5</v>
      </c>
      <c r="E69" s="2">
        <v>320000</v>
      </c>
      <c r="F69" s="2">
        <f>Table1[[#This Row],[Quantity]]*Table1[[#This Row],[Unit_Price]]</f>
        <v>1600000</v>
      </c>
      <c r="G69" s="2" t="str">
        <f t="shared" si="1"/>
        <v>Cao</v>
      </c>
      <c r="H69" s="2" t="s">
        <v>8</v>
      </c>
      <c r="I69" s="2" t="s">
        <v>22</v>
      </c>
      <c r="J69" s="3">
        <v>45515</v>
      </c>
    </row>
    <row r="70" spans="1:10" ht="14.25" customHeight="1" x14ac:dyDescent="0.3">
      <c r="A70" s="2" t="s">
        <v>26</v>
      </c>
      <c r="B70" s="2" t="s">
        <v>48</v>
      </c>
      <c r="C70" s="2" t="s">
        <v>47</v>
      </c>
      <c r="D70" s="2">
        <v>9</v>
      </c>
      <c r="E70" s="2">
        <v>150000</v>
      </c>
      <c r="F70" s="2">
        <f>Table1[[#This Row],[Quantity]]*Table1[[#This Row],[Unit_Price]]</f>
        <v>1350000</v>
      </c>
      <c r="G70" s="2" t="str">
        <f t="shared" si="1"/>
        <v>Cao</v>
      </c>
      <c r="H70" s="2" t="s">
        <v>11</v>
      </c>
      <c r="I70" s="2" t="s">
        <v>20</v>
      </c>
      <c r="J70" s="3">
        <v>45546</v>
      </c>
    </row>
    <row r="71" spans="1:10" ht="14.25" customHeight="1" x14ac:dyDescent="0.3">
      <c r="A71" s="2" t="s">
        <v>33</v>
      </c>
      <c r="B71" s="2" t="s">
        <v>56</v>
      </c>
      <c r="C71" s="2" t="s">
        <v>45</v>
      </c>
      <c r="D71" s="2">
        <v>6</v>
      </c>
      <c r="E71" s="2">
        <v>200000</v>
      </c>
      <c r="F71" s="2">
        <f>Table1[[#This Row],[Quantity]]*Table1[[#This Row],[Unit_Price]]</f>
        <v>1200000</v>
      </c>
      <c r="G71" s="2" t="str">
        <f t="shared" si="1"/>
        <v>Cao</v>
      </c>
      <c r="H71" s="2" t="s">
        <v>11</v>
      </c>
      <c r="I71" s="2" t="s">
        <v>16</v>
      </c>
      <c r="J71" s="4">
        <v>45626</v>
      </c>
    </row>
    <row r="72" spans="1:10" ht="14.25" customHeight="1" x14ac:dyDescent="0.3">
      <c r="A72" s="2" t="s">
        <v>26</v>
      </c>
      <c r="B72" s="2" t="s">
        <v>48</v>
      </c>
      <c r="C72" s="2" t="s">
        <v>47</v>
      </c>
      <c r="D72" s="2">
        <v>4</v>
      </c>
      <c r="E72" s="2">
        <v>150000</v>
      </c>
      <c r="F72" s="2">
        <f>Table1[[#This Row],[Quantity]]*Table1[[#This Row],[Unit_Price]]</f>
        <v>600000</v>
      </c>
      <c r="G72" s="2" t="str">
        <f t="shared" si="1"/>
        <v>Trung bình</v>
      </c>
      <c r="H72" s="2" t="s">
        <v>8</v>
      </c>
      <c r="I72" s="2" t="s">
        <v>23</v>
      </c>
      <c r="J72" s="3">
        <v>45637</v>
      </c>
    </row>
    <row r="73" spans="1:10" ht="14.25" customHeight="1" x14ac:dyDescent="0.3">
      <c r="A73" s="2" t="s">
        <v>27</v>
      </c>
      <c r="B73" s="2" t="s">
        <v>49</v>
      </c>
      <c r="C73" s="2" t="s">
        <v>45</v>
      </c>
      <c r="D73" s="2">
        <v>5</v>
      </c>
      <c r="E73" s="2">
        <v>550000</v>
      </c>
      <c r="F73" s="2">
        <f>Table1[[#This Row],[Quantity]]*Table1[[#This Row],[Unit_Price]]</f>
        <v>2750000</v>
      </c>
      <c r="G73" s="2" t="str">
        <f t="shared" si="1"/>
        <v>Cao</v>
      </c>
      <c r="H73" s="2" t="s">
        <v>8</v>
      </c>
      <c r="I73" s="2" t="s">
        <v>9</v>
      </c>
      <c r="J73" s="4">
        <v>45612</v>
      </c>
    </row>
    <row r="74" spans="1:10" ht="14.25" customHeight="1" x14ac:dyDescent="0.3">
      <c r="A74" s="2" t="s">
        <v>43</v>
      </c>
      <c r="B74" s="2" t="s">
        <v>66</v>
      </c>
      <c r="C74" s="2" t="s">
        <v>53</v>
      </c>
      <c r="D74" s="2">
        <v>3</v>
      </c>
      <c r="E74" s="2">
        <v>250000</v>
      </c>
      <c r="F74" s="2">
        <f>Table1[[#This Row],[Quantity]]*Table1[[#This Row],[Unit_Price]]</f>
        <v>750000</v>
      </c>
      <c r="G74" s="2" t="str">
        <f t="shared" si="1"/>
        <v>Trung bình</v>
      </c>
      <c r="H74" s="2" t="s">
        <v>11</v>
      </c>
      <c r="I74" s="2" t="s">
        <v>13</v>
      </c>
      <c r="J74" s="4">
        <v>45624</v>
      </c>
    </row>
    <row r="75" spans="1:10" ht="14.25" customHeight="1" x14ac:dyDescent="0.3">
      <c r="A75" s="2" t="s">
        <v>35</v>
      </c>
      <c r="B75" s="2" t="s">
        <v>58</v>
      </c>
      <c r="C75" s="2" t="s">
        <v>45</v>
      </c>
      <c r="D75" s="2">
        <v>4</v>
      </c>
      <c r="E75" s="2">
        <v>350000</v>
      </c>
      <c r="F75" s="2">
        <f>Table1[[#This Row],[Quantity]]*Table1[[#This Row],[Unit_Price]]</f>
        <v>1400000</v>
      </c>
      <c r="G75" s="2" t="str">
        <f t="shared" si="1"/>
        <v>Cao</v>
      </c>
      <c r="H75" s="2" t="s">
        <v>11</v>
      </c>
      <c r="I75" s="2" t="s">
        <v>12</v>
      </c>
      <c r="J75" s="4">
        <v>45620</v>
      </c>
    </row>
    <row r="76" spans="1:10" ht="14.25" customHeight="1" x14ac:dyDescent="0.3">
      <c r="A76" s="2" t="s">
        <v>40</v>
      </c>
      <c r="B76" s="2" t="s">
        <v>63</v>
      </c>
      <c r="C76" s="2" t="s">
        <v>53</v>
      </c>
      <c r="D76" s="2">
        <v>9</v>
      </c>
      <c r="E76" s="2">
        <v>95000</v>
      </c>
      <c r="F76" s="2">
        <f>Table1[[#This Row],[Quantity]]*Table1[[#This Row],[Unit_Price]]</f>
        <v>855000</v>
      </c>
      <c r="G76" s="2" t="str">
        <f t="shared" si="1"/>
        <v>Trung bình</v>
      </c>
      <c r="H76" s="2" t="s">
        <v>6</v>
      </c>
      <c r="I76" s="2" t="s">
        <v>21</v>
      </c>
      <c r="J76" s="4">
        <v>45609</v>
      </c>
    </row>
    <row r="77" spans="1:10" ht="14.25" customHeight="1" x14ac:dyDescent="0.3">
      <c r="A77" s="2" t="s">
        <v>26</v>
      </c>
      <c r="B77" s="2" t="s">
        <v>48</v>
      </c>
      <c r="C77" s="2" t="s">
        <v>47</v>
      </c>
      <c r="D77" s="2">
        <v>5</v>
      </c>
      <c r="E77" s="2">
        <v>150000</v>
      </c>
      <c r="F77" s="2">
        <f>Table1[[#This Row],[Quantity]]*Table1[[#This Row],[Unit_Price]]</f>
        <v>750000</v>
      </c>
      <c r="G77" s="2" t="str">
        <f t="shared" si="1"/>
        <v>Trung bình</v>
      </c>
      <c r="H77" s="2" t="s">
        <v>8</v>
      </c>
      <c r="I77" s="2" t="s">
        <v>9</v>
      </c>
      <c r="J77" s="3">
        <v>45454</v>
      </c>
    </row>
    <row r="78" spans="1:10" ht="14.25" customHeight="1" x14ac:dyDescent="0.3">
      <c r="A78" s="2" t="s">
        <v>30</v>
      </c>
      <c r="B78" s="2" t="s">
        <v>52</v>
      </c>
      <c r="C78" s="2" t="s">
        <v>53</v>
      </c>
      <c r="D78" s="2">
        <v>4</v>
      </c>
      <c r="E78" s="2">
        <v>180000</v>
      </c>
      <c r="F78" s="2">
        <f>Table1[[#This Row],[Quantity]]*Table1[[#This Row],[Unit_Price]]</f>
        <v>720000</v>
      </c>
      <c r="G78" s="2" t="str">
        <f t="shared" si="1"/>
        <v>Trung bình</v>
      </c>
      <c r="H78" s="2" t="s">
        <v>8</v>
      </c>
      <c r="I78" s="2" t="s">
        <v>23</v>
      </c>
      <c r="J78" s="4">
        <v>45615</v>
      </c>
    </row>
    <row r="79" spans="1:10" ht="14.25" customHeight="1" x14ac:dyDescent="0.3">
      <c r="A79" s="2" t="s">
        <v>33</v>
      </c>
      <c r="B79" s="2" t="s">
        <v>56</v>
      </c>
      <c r="C79" s="2" t="s">
        <v>45</v>
      </c>
      <c r="D79" s="2">
        <v>7</v>
      </c>
      <c r="E79" s="2">
        <v>200000</v>
      </c>
      <c r="F79" s="2">
        <f>Table1[[#This Row],[Quantity]]*Table1[[#This Row],[Unit_Price]]</f>
        <v>1400000</v>
      </c>
      <c r="G79" s="2" t="str">
        <f t="shared" si="1"/>
        <v>Cao</v>
      </c>
      <c r="H79" s="2" t="s">
        <v>8</v>
      </c>
      <c r="I79" s="2" t="s">
        <v>14</v>
      </c>
      <c r="J79" s="4">
        <v>45620</v>
      </c>
    </row>
    <row r="80" spans="1:10" ht="14.25" customHeight="1" x14ac:dyDescent="0.3">
      <c r="A80" s="2" t="s">
        <v>37</v>
      </c>
      <c r="B80" s="2" t="s">
        <v>60</v>
      </c>
      <c r="C80" s="2" t="s">
        <v>53</v>
      </c>
      <c r="D80" s="2">
        <v>8</v>
      </c>
      <c r="E80" s="2">
        <v>180000</v>
      </c>
      <c r="F80" s="2">
        <f>Table1[[#This Row],[Quantity]]*Table1[[#This Row],[Unit_Price]]</f>
        <v>1440000</v>
      </c>
      <c r="G80" s="2" t="str">
        <f t="shared" si="1"/>
        <v>Cao</v>
      </c>
      <c r="H80" s="2" t="s">
        <v>11</v>
      </c>
      <c r="I80" s="2" t="s">
        <v>16</v>
      </c>
      <c r="J80" s="4">
        <v>45614</v>
      </c>
    </row>
    <row r="81" spans="1:10" ht="14.25" customHeight="1" x14ac:dyDescent="0.3">
      <c r="A81" s="2" t="s">
        <v>30</v>
      </c>
      <c r="B81" s="2" t="s">
        <v>52</v>
      </c>
      <c r="C81" s="2" t="s">
        <v>53</v>
      </c>
      <c r="D81" s="2">
        <v>1</v>
      </c>
      <c r="E81" s="2">
        <v>180000</v>
      </c>
      <c r="F81" s="2">
        <f>Table1[[#This Row],[Quantity]]*Table1[[#This Row],[Unit_Price]]</f>
        <v>180000</v>
      </c>
      <c r="G81" s="2" t="str">
        <f t="shared" si="1"/>
        <v>Thấp</v>
      </c>
      <c r="H81" s="2" t="s">
        <v>8</v>
      </c>
      <c r="I81" s="2" t="s">
        <v>14</v>
      </c>
      <c r="J81" s="3">
        <v>45515</v>
      </c>
    </row>
    <row r="82" spans="1:10" ht="14.25" customHeight="1" x14ac:dyDescent="0.3">
      <c r="A82" s="2" t="s">
        <v>37</v>
      </c>
      <c r="B82" s="2" t="s">
        <v>60</v>
      </c>
      <c r="C82" s="2" t="s">
        <v>53</v>
      </c>
      <c r="D82" s="2">
        <v>10</v>
      </c>
      <c r="E82" s="2">
        <v>180000</v>
      </c>
      <c r="F82" s="2">
        <f>Table1[[#This Row],[Quantity]]*Table1[[#This Row],[Unit_Price]]</f>
        <v>1800000</v>
      </c>
      <c r="G82" s="2" t="str">
        <f t="shared" si="1"/>
        <v>Cao</v>
      </c>
      <c r="H82" s="2" t="s">
        <v>11</v>
      </c>
      <c r="I82" s="2" t="s">
        <v>13</v>
      </c>
      <c r="J82" s="3">
        <v>45515</v>
      </c>
    </row>
    <row r="83" spans="1:10" ht="14.25" customHeight="1" x14ac:dyDescent="0.3">
      <c r="A83" s="2" t="s">
        <v>40</v>
      </c>
      <c r="B83" s="2" t="s">
        <v>63</v>
      </c>
      <c r="C83" s="2" t="s">
        <v>53</v>
      </c>
      <c r="D83" s="2">
        <v>7</v>
      </c>
      <c r="E83" s="2">
        <v>95000</v>
      </c>
      <c r="F83" s="2">
        <f>Table1[[#This Row],[Quantity]]*Table1[[#This Row],[Unit_Price]]</f>
        <v>665000</v>
      </c>
      <c r="G83" s="2" t="str">
        <f t="shared" si="1"/>
        <v>Trung bình</v>
      </c>
      <c r="H83" s="2" t="s">
        <v>8</v>
      </c>
      <c r="I83" s="2" t="s">
        <v>9</v>
      </c>
      <c r="J83" s="3">
        <v>45515</v>
      </c>
    </row>
    <row r="84" spans="1:10" ht="14.25" customHeight="1" x14ac:dyDescent="0.3">
      <c r="A84" s="2" t="s">
        <v>40</v>
      </c>
      <c r="B84" s="2" t="s">
        <v>63</v>
      </c>
      <c r="C84" s="2" t="s">
        <v>53</v>
      </c>
      <c r="D84" s="2">
        <v>5</v>
      </c>
      <c r="E84" s="2">
        <v>95000</v>
      </c>
      <c r="F84" s="2">
        <f>Table1[[#This Row],[Quantity]]*Table1[[#This Row],[Unit_Price]]</f>
        <v>475000</v>
      </c>
      <c r="G84" s="2" t="str">
        <f t="shared" si="1"/>
        <v>Thấp</v>
      </c>
      <c r="H84" s="2" t="s">
        <v>6</v>
      </c>
      <c r="I84" s="2" t="s">
        <v>18</v>
      </c>
      <c r="J84" s="3">
        <v>45302</v>
      </c>
    </row>
    <row r="85" spans="1:10" ht="14.25" customHeight="1" x14ac:dyDescent="0.3">
      <c r="A85" s="2" t="s">
        <v>34</v>
      </c>
      <c r="B85" s="2" t="s">
        <v>57</v>
      </c>
      <c r="C85" s="2" t="s">
        <v>47</v>
      </c>
      <c r="D85" s="2">
        <v>9</v>
      </c>
      <c r="E85" s="2">
        <v>195000</v>
      </c>
      <c r="F85" s="2">
        <f>Table1[[#This Row],[Quantity]]*Table1[[#This Row],[Unit_Price]]</f>
        <v>1755000</v>
      </c>
      <c r="G85" s="2" t="str">
        <f t="shared" si="1"/>
        <v>Cao</v>
      </c>
      <c r="H85" s="2" t="s">
        <v>11</v>
      </c>
      <c r="I85" s="2" t="s">
        <v>16</v>
      </c>
      <c r="J85" s="3">
        <v>45393</v>
      </c>
    </row>
    <row r="86" spans="1:10" ht="14.25" customHeight="1" x14ac:dyDescent="0.3">
      <c r="A86" s="2" t="s">
        <v>37</v>
      </c>
      <c r="B86" s="2" t="s">
        <v>60</v>
      </c>
      <c r="C86" s="2" t="s">
        <v>53</v>
      </c>
      <c r="D86" s="2">
        <v>4</v>
      </c>
      <c r="E86" s="2">
        <v>180000</v>
      </c>
      <c r="F86" s="2">
        <f>Table1[[#This Row],[Quantity]]*Table1[[#This Row],[Unit_Price]]</f>
        <v>720000</v>
      </c>
      <c r="G86" s="2" t="str">
        <f t="shared" si="1"/>
        <v>Trung bình</v>
      </c>
      <c r="H86" s="2" t="s">
        <v>11</v>
      </c>
      <c r="I86" s="2" t="s">
        <v>20</v>
      </c>
      <c r="J86" s="3">
        <v>45302</v>
      </c>
    </row>
    <row r="87" spans="1:10" ht="14.25" customHeight="1" x14ac:dyDescent="0.3">
      <c r="A87" s="2" t="s">
        <v>32</v>
      </c>
      <c r="B87" s="2" t="s">
        <v>55</v>
      </c>
      <c r="C87" s="2" t="s">
        <v>45</v>
      </c>
      <c r="D87" s="2">
        <v>10</v>
      </c>
      <c r="E87" s="2">
        <v>320000</v>
      </c>
      <c r="F87" s="2">
        <f>Table1[[#This Row],[Quantity]]*Table1[[#This Row],[Unit_Price]]</f>
        <v>3200000</v>
      </c>
      <c r="G87" s="2" t="str">
        <f t="shared" si="1"/>
        <v>Cao</v>
      </c>
      <c r="H87" s="2" t="s">
        <v>11</v>
      </c>
      <c r="I87" s="2" t="s">
        <v>15</v>
      </c>
      <c r="J87" s="3">
        <v>45576</v>
      </c>
    </row>
    <row r="88" spans="1:10" ht="14.25" customHeight="1" x14ac:dyDescent="0.3">
      <c r="A88" s="2" t="s">
        <v>41</v>
      </c>
      <c r="B88" s="2" t="s">
        <v>64</v>
      </c>
      <c r="C88" s="2" t="s">
        <v>47</v>
      </c>
      <c r="D88" s="2">
        <v>2</v>
      </c>
      <c r="E88" s="2">
        <v>350000</v>
      </c>
      <c r="F88" s="2">
        <f>Table1[[#This Row],[Quantity]]*Table1[[#This Row],[Unit_Price]]</f>
        <v>700000</v>
      </c>
      <c r="G88" s="2" t="str">
        <f t="shared" si="1"/>
        <v>Trung bình</v>
      </c>
      <c r="H88" s="2" t="s">
        <v>6</v>
      </c>
      <c r="I88" s="2" t="s">
        <v>19</v>
      </c>
      <c r="J88" s="3">
        <v>45515</v>
      </c>
    </row>
    <row r="89" spans="1:10" ht="14.25" customHeight="1" x14ac:dyDescent="0.3">
      <c r="A89" s="2" t="s">
        <v>43</v>
      </c>
      <c r="B89" s="2" t="s">
        <v>66</v>
      </c>
      <c r="C89" s="2" t="s">
        <v>53</v>
      </c>
      <c r="D89" s="2">
        <v>3</v>
      </c>
      <c r="E89" s="2">
        <v>250000</v>
      </c>
      <c r="F89" s="2">
        <f>Table1[[#This Row],[Quantity]]*Table1[[#This Row],[Unit_Price]]</f>
        <v>750000</v>
      </c>
      <c r="G89" s="2" t="str">
        <f t="shared" si="1"/>
        <v>Trung bình</v>
      </c>
      <c r="H89" s="2" t="s">
        <v>8</v>
      </c>
      <c r="I89" s="2" t="s">
        <v>9</v>
      </c>
      <c r="J89" s="4">
        <v>45620</v>
      </c>
    </row>
    <row r="90" spans="1:10" ht="14.25" customHeight="1" x14ac:dyDescent="0.3">
      <c r="A90" s="2" t="s">
        <v>24</v>
      </c>
      <c r="B90" s="2" t="s">
        <v>44</v>
      </c>
      <c r="C90" s="2" t="s">
        <v>45</v>
      </c>
      <c r="D90" s="2">
        <v>7</v>
      </c>
      <c r="E90" s="2">
        <v>280000</v>
      </c>
      <c r="F90" s="2">
        <f>Table1[[#This Row],[Quantity]]*Table1[[#This Row],[Unit_Price]]</f>
        <v>1960000</v>
      </c>
      <c r="G90" s="2" t="str">
        <f t="shared" si="1"/>
        <v>Cao</v>
      </c>
      <c r="H90" s="2" t="s">
        <v>8</v>
      </c>
      <c r="I90" s="2" t="s">
        <v>14</v>
      </c>
      <c r="J90" s="4">
        <v>45621</v>
      </c>
    </row>
    <row r="91" spans="1:10" ht="14.25" customHeight="1" x14ac:dyDescent="0.3">
      <c r="A91" s="2" t="s">
        <v>33</v>
      </c>
      <c r="B91" s="2" t="s">
        <v>56</v>
      </c>
      <c r="C91" s="2" t="s">
        <v>45</v>
      </c>
      <c r="D91" s="2">
        <v>7</v>
      </c>
      <c r="E91" s="2">
        <v>200000</v>
      </c>
      <c r="F91" s="2">
        <f>Table1[[#This Row],[Quantity]]*Table1[[#This Row],[Unit_Price]]</f>
        <v>1400000</v>
      </c>
      <c r="G91" s="2" t="str">
        <f t="shared" si="1"/>
        <v>Cao</v>
      </c>
      <c r="H91" s="2" t="s">
        <v>8</v>
      </c>
      <c r="I91" s="2" t="s">
        <v>14</v>
      </c>
      <c r="J91" s="3">
        <v>45333</v>
      </c>
    </row>
    <row r="92" spans="1:10" ht="14.25" customHeight="1" x14ac:dyDescent="0.3">
      <c r="A92" s="2" t="s">
        <v>38</v>
      </c>
      <c r="B92" s="2" t="s">
        <v>61</v>
      </c>
      <c r="C92" s="2" t="s">
        <v>53</v>
      </c>
      <c r="D92" s="2">
        <v>8</v>
      </c>
      <c r="E92" s="2">
        <v>85000</v>
      </c>
      <c r="F92" s="2">
        <f>Table1[[#This Row],[Quantity]]*Table1[[#This Row],[Unit_Price]]</f>
        <v>680000</v>
      </c>
      <c r="G92" s="2" t="str">
        <f t="shared" si="1"/>
        <v>Trung bình</v>
      </c>
      <c r="H92" s="2" t="s">
        <v>11</v>
      </c>
      <c r="I92" s="2" t="s">
        <v>12</v>
      </c>
      <c r="J92" s="4">
        <v>45624</v>
      </c>
    </row>
    <row r="93" spans="1:10" ht="14.25" customHeight="1" x14ac:dyDescent="0.3">
      <c r="A93" s="2" t="s">
        <v>37</v>
      </c>
      <c r="B93" s="2" t="s">
        <v>60</v>
      </c>
      <c r="C93" s="2" t="s">
        <v>53</v>
      </c>
      <c r="D93" s="2">
        <v>1</v>
      </c>
      <c r="E93" s="2">
        <v>180000</v>
      </c>
      <c r="F93" s="2">
        <f>Table1[[#This Row],[Quantity]]*Table1[[#This Row],[Unit_Price]]</f>
        <v>180000</v>
      </c>
      <c r="G93" s="2" t="str">
        <f t="shared" si="1"/>
        <v>Thấp</v>
      </c>
      <c r="H93" s="2" t="s">
        <v>11</v>
      </c>
      <c r="I93" s="2" t="s">
        <v>12</v>
      </c>
      <c r="J93" s="3">
        <v>45423</v>
      </c>
    </row>
    <row r="94" spans="1:10" ht="14.25" customHeight="1" x14ac:dyDescent="0.3">
      <c r="A94" s="2" t="s">
        <v>36</v>
      </c>
      <c r="B94" s="2" t="s">
        <v>59</v>
      </c>
      <c r="C94" s="2" t="s">
        <v>45</v>
      </c>
      <c r="D94" s="2">
        <v>1</v>
      </c>
      <c r="E94" s="2">
        <v>150000</v>
      </c>
      <c r="F94" s="2">
        <f>Table1[[#This Row],[Quantity]]*Table1[[#This Row],[Unit_Price]]</f>
        <v>150000</v>
      </c>
      <c r="G94" s="2" t="str">
        <f t="shared" si="1"/>
        <v>Thấp</v>
      </c>
      <c r="H94" s="2" t="s">
        <v>6</v>
      </c>
      <c r="I94" s="2" t="s">
        <v>7</v>
      </c>
      <c r="J94" s="3">
        <v>45302</v>
      </c>
    </row>
    <row r="95" spans="1:10" ht="14.25" customHeight="1" x14ac:dyDescent="0.3">
      <c r="A95" s="2" t="s">
        <v>39</v>
      </c>
      <c r="B95" s="2" t="s">
        <v>62</v>
      </c>
      <c r="C95" s="2" t="s">
        <v>47</v>
      </c>
      <c r="D95" s="2">
        <v>4</v>
      </c>
      <c r="E95" s="2">
        <v>130000</v>
      </c>
      <c r="F95" s="2">
        <f>Table1[[#This Row],[Quantity]]*Table1[[#This Row],[Unit_Price]]</f>
        <v>520000</v>
      </c>
      <c r="G95" s="2" t="str">
        <f t="shared" si="1"/>
        <v>Trung bình</v>
      </c>
      <c r="H95" s="2" t="s">
        <v>6</v>
      </c>
      <c r="I95" s="2" t="s">
        <v>18</v>
      </c>
      <c r="J95" s="4">
        <v>45623</v>
      </c>
    </row>
    <row r="96" spans="1:10" ht="14.25" customHeight="1" x14ac:dyDescent="0.3">
      <c r="A96" s="2" t="s">
        <v>37</v>
      </c>
      <c r="B96" s="2" t="s">
        <v>60</v>
      </c>
      <c r="C96" s="2" t="s">
        <v>53</v>
      </c>
      <c r="D96" s="2">
        <v>10</v>
      </c>
      <c r="E96" s="2">
        <v>180000</v>
      </c>
      <c r="F96" s="2">
        <f>Table1[[#This Row],[Quantity]]*Table1[[#This Row],[Unit_Price]]</f>
        <v>1800000</v>
      </c>
      <c r="G96" s="2" t="str">
        <f t="shared" si="1"/>
        <v>Cao</v>
      </c>
      <c r="H96" s="2" t="s">
        <v>6</v>
      </c>
      <c r="I96" s="2" t="s">
        <v>17</v>
      </c>
      <c r="J96" s="4">
        <v>45624</v>
      </c>
    </row>
    <row r="97" spans="1:10" ht="14.25" customHeight="1" x14ac:dyDescent="0.3">
      <c r="A97" s="2" t="s">
        <v>24</v>
      </c>
      <c r="B97" s="2" t="s">
        <v>44</v>
      </c>
      <c r="C97" s="2" t="s">
        <v>45</v>
      </c>
      <c r="D97" s="2">
        <v>4</v>
      </c>
      <c r="E97" s="2">
        <v>280000</v>
      </c>
      <c r="F97" s="2">
        <f>Table1[[#This Row],[Quantity]]*Table1[[#This Row],[Unit_Price]]</f>
        <v>1120000</v>
      </c>
      <c r="G97" s="2" t="str">
        <f t="shared" si="1"/>
        <v>Cao</v>
      </c>
      <c r="H97" s="2" t="s">
        <v>6</v>
      </c>
      <c r="I97" s="2" t="s">
        <v>18</v>
      </c>
      <c r="J97" s="4">
        <v>45610</v>
      </c>
    </row>
    <row r="98" spans="1:10" ht="14.25" customHeight="1" x14ac:dyDescent="0.3">
      <c r="A98" s="2" t="s">
        <v>34</v>
      </c>
      <c r="B98" s="2" t="s">
        <v>57</v>
      </c>
      <c r="C98" s="2" t="s">
        <v>47</v>
      </c>
      <c r="D98" s="2">
        <v>6</v>
      </c>
      <c r="E98" s="2">
        <v>195000</v>
      </c>
      <c r="F98" s="2">
        <f>Table1[[#This Row],[Quantity]]*Table1[[#This Row],[Unit_Price]]</f>
        <v>1170000</v>
      </c>
      <c r="G98" s="2" t="str">
        <f t="shared" si="1"/>
        <v>Cao</v>
      </c>
      <c r="H98" s="2" t="s">
        <v>8</v>
      </c>
      <c r="I98" s="2" t="s">
        <v>14</v>
      </c>
      <c r="J98" s="4">
        <v>45610</v>
      </c>
    </row>
    <row r="99" spans="1:10" ht="14.25" customHeight="1" x14ac:dyDescent="0.3">
      <c r="A99" s="2" t="s">
        <v>24</v>
      </c>
      <c r="B99" s="2" t="s">
        <v>44</v>
      </c>
      <c r="C99" s="2" t="s">
        <v>45</v>
      </c>
      <c r="D99" s="2">
        <v>4</v>
      </c>
      <c r="E99" s="2">
        <v>280000</v>
      </c>
      <c r="F99" s="2">
        <f>Table1[[#This Row],[Quantity]]*Table1[[#This Row],[Unit_Price]]</f>
        <v>1120000</v>
      </c>
      <c r="G99" s="2" t="str">
        <f t="shared" si="1"/>
        <v>Cao</v>
      </c>
      <c r="H99" s="2" t="s">
        <v>11</v>
      </c>
      <c r="I99" s="2" t="s">
        <v>20</v>
      </c>
      <c r="J99" s="3">
        <v>45423</v>
      </c>
    </row>
    <row r="100" spans="1:10" ht="14.25" customHeight="1" x14ac:dyDescent="0.3">
      <c r="A100" s="2" t="s">
        <v>36</v>
      </c>
      <c r="B100" s="2" t="s">
        <v>59</v>
      </c>
      <c r="C100" s="2" t="s">
        <v>45</v>
      </c>
      <c r="D100" s="2">
        <v>1</v>
      </c>
      <c r="E100" s="2">
        <v>150000</v>
      </c>
      <c r="F100" s="2">
        <f>Table1[[#This Row],[Quantity]]*Table1[[#This Row],[Unit_Price]]</f>
        <v>150000</v>
      </c>
      <c r="G100" s="2" t="str">
        <f t="shared" si="1"/>
        <v>Thấp</v>
      </c>
      <c r="H100" s="2" t="s">
        <v>11</v>
      </c>
      <c r="I100" s="2" t="s">
        <v>20</v>
      </c>
      <c r="J100" s="3">
        <v>45362</v>
      </c>
    </row>
    <row r="101" spans="1:10" ht="14.25" customHeight="1" x14ac:dyDescent="0.3">
      <c r="A101" s="2" t="s">
        <v>39</v>
      </c>
      <c r="B101" s="2" t="s">
        <v>62</v>
      </c>
      <c r="C101" s="2" t="s">
        <v>47</v>
      </c>
      <c r="D101" s="2">
        <v>5</v>
      </c>
      <c r="E101" s="2">
        <v>130000</v>
      </c>
      <c r="F101" s="2">
        <f>Table1[[#This Row],[Quantity]]*Table1[[#This Row],[Unit_Price]]</f>
        <v>650000</v>
      </c>
      <c r="G101" s="2" t="str">
        <f t="shared" si="1"/>
        <v>Trung bình</v>
      </c>
      <c r="H101" s="2" t="s">
        <v>8</v>
      </c>
      <c r="I101" s="2" t="s">
        <v>9</v>
      </c>
      <c r="J101" s="3">
        <v>45302</v>
      </c>
    </row>
    <row r="102" spans="1:10" ht="14.25" customHeight="1" x14ac:dyDescent="0.3">
      <c r="A102" s="2" t="s">
        <v>34</v>
      </c>
      <c r="B102" s="2" t="s">
        <v>57</v>
      </c>
      <c r="C102" s="2" t="s">
        <v>47</v>
      </c>
      <c r="D102" s="2">
        <v>8</v>
      </c>
      <c r="E102" s="2">
        <v>195000</v>
      </c>
      <c r="F102" s="2">
        <f>Table1[[#This Row],[Quantity]]*Table1[[#This Row],[Unit_Price]]</f>
        <v>1560000</v>
      </c>
      <c r="G102" s="2" t="str">
        <f t="shared" si="1"/>
        <v>Cao</v>
      </c>
      <c r="H102" s="2" t="s">
        <v>8</v>
      </c>
      <c r="I102" s="2" t="s">
        <v>14</v>
      </c>
      <c r="J102" s="3">
        <v>45362</v>
      </c>
    </row>
    <row r="103" spans="1:10" ht="14.25" customHeight="1" x14ac:dyDescent="0.3">
      <c r="A103" s="2" t="s">
        <v>32</v>
      </c>
      <c r="B103" s="2" t="s">
        <v>55</v>
      </c>
      <c r="C103" s="2" t="s">
        <v>45</v>
      </c>
      <c r="D103" s="2">
        <v>1</v>
      </c>
      <c r="E103" s="2">
        <v>320000</v>
      </c>
      <c r="F103" s="2">
        <f>Table1[[#This Row],[Quantity]]*Table1[[#This Row],[Unit_Price]]</f>
        <v>320000</v>
      </c>
      <c r="G103" s="2" t="str">
        <f t="shared" si="1"/>
        <v>Thấp</v>
      </c>
      <c r="H103" s="2" t="s">
        <v>11</v>
      </c>
      <c r="I103" s="2" t="s">
        <v>16</v>
      </c>
      <c r="J103" s="4">
        <v>45611</v>
      </c>
    </row>
    <row r="104" spans="1:10" ht="14.25" customHeight="1" x14ac:dyDescent="0.3">
      <c r="A104" s="2" t="s">
        <v>34</v>
      </c>
      <c r="B104" s="2" t="s">
        <v>57</v>
      </c>
      <c r="C104" s="2" t="s">
        <v>47</v>
      </c>
      <c r="D104" s="2">
        <v>10</v>
      </c>
      <c r="E104" s="2">
        <v>195000</v>
      </c>
      <c r="F104" s="2">
        <f>Table1[[#This Row],[Quantity]]*Table1[[#This Row],[Unit_Price]]</f>
        <v>1950000</v>
      </c>
      <c r="G104" s="2" t="str">
        <f t="shared" si="1"/>
        <v>Cao</v>
      </c>
      <c r="H104" s="2" t="s">
        <v>8</v>
      </c>
      <c r="I104" s="2" t="s">
        <v>23</v>
      </c>
      <c r="J104" s="4">
        <v>45616</v>
      </c>
    </row>
    <row r="105" spans="1:10" ht="14.25" customHeight="1" x14ac:dyDescent="0.3">
      <c r="A105" s="2" t="s">
        <v>42</v>
      </c>
      <c r="B105" s="2" t="s">
        <v>65</v>
      </c>
      <c r="C105" s="2" t="s">
        <v>53</v>
      </c>
      <c r="D105" s="2">
        <v>6</v>
      </c>
      <c r="E105" s="2">
        <v>75000</v>
      </c>
      <c r="F105" s="2">
        <f>Table1[[#This Row],[Quantity]]*Table1[[#This Row],[Unit_Price]]</f>
        <v>450000</v>
      </c>
      <c r="G105" s="2" t="str">
        <f t="shared" si="1"/>
        <v>Thấp</v>
      </c>
      <c r="H105" s="2" t="s">
        <v>8</v>
      </c>
      <c r="I105" s="2" t="s">
        <v>22</v>
      </c>
      <c r="J105" s="4">
        <v>45616</v>
      </c>
    </row>
    <row r="106" spans="1:10" ht="14.25" customHeight="1" x14ac:dyDescent="0.3">
      <c r="A106" s="2" t="s">
        <v>34</v>
      </c>
      <c r="B106" s="2" t="s">
        <v>57</v>
      </c>
      <c r="C106" s="2" t="s">
        <v>47</v>
      </c>
      <c r="D106" s="2">
        <v>9</v>
      </c>
      <c r="E106" s="2">
        <v>195000</v>
      </c>
      <c r="F106" s="2">
        <f>Table1[[#This Row],[Quantity]]*Table1[[#This Row],[Unit_Price]]</f>
        <v>1755000</v>
      </c>
      <c r="G106" s="2" t="str">
        <f t="shared" si="1"/>
        <v>Cao</v>
      </c>
      <c r="H106" s="2" t="s">
        <v>8</v>
      </c>
      <c r="I106" s="2" t="s">
        <v>23</v>
      </c>
      <c r="J106" s="4">
        <v>45612</v>
      </c>
    </row>
    <row r="107" spans="1:10" ht="14.25" customHeight="1" x14ac:dyDescent="0.3">
      <c r="A107" s="2" t="s">
        <v>42</v>
      </c>
      <c r="B107" s="2" t="s">
        <v>65</v>
      </c>
      <c r="C107" s="2" t="s">
        <v>53</v>
      </c>
      <c r="D107" s="2">
        <v>8</v>
      </c>
      <c r="E107" s="2">
        <v>75000</v>
      </c>
      <c r="F107" s="2">
        <f>Table1[[#This Row],[Quantity]]*Table1[[#This Row],[Unit_Price]]</f>
        <v>600000</v>
      </c>
      <c r="G107" s="2" t="str">
        <f t="shared" si="1"/>
        <v>Trung bình</v>
      </c>
      <c r="H107" s="2" t="s">
        <v>6</v>
      </c>
      <c r="I107" s="2" t="s">
        <v>18</v>
      </c>
      <c r="J107" s="4">
        <v>45609</v>
      </c>
    </row>
    <row r="108" spans="1:10" ht="14.25" customHeight="1" x14ac:dyDescent="0.3">
      <c r="A108" s="2" t="s">
        <v>31</v>
      </c>
      <c r="B108" s="2" t="s">
        <v>54</v>
      </c>
      <c r="C108" s="2" t="s">
        <v>53</v>
      </c>
      <c r="D108" s="2">
        <v>1</v>
      </c>
      <c r="E108" s="2">
        <v>220000</v>
      </c>
      <c r="F108" s="2">
        <f>Table1[[#This Row],[Quantity]]*Table1[[#This Row],[Unit_Price]]</f>
        <v>220000</v>
      </c>
      <c r="G108" s="2" t="str">
        <f t="shared" si="1"/>
        <v>Thấp</v>
      </c>
      <c r="H108" s="2" t="s">
        <v>8</v>
      </c>
      <c r="I108" s="2" t="s">
        <v>9</v>
      </c>
      <c r="J108" s="4">
        <v>45626</v>
      </c>
    </row>
    <row r="109" spans="1:10" ht="14.25" customHeight="1" x14ac:dyDescent="0.3">
      <c r="A109" s="2" t="s">
        <v>37</v>
      </c>
      <c r="B109" s="2" t="s">
        <v>60</v>
      </c>
      <c r="C109" s="2" t="s">
        <v>53</v>
      </c>
      <c r="D109" s="2">
        <v>7</v>
      </c>
      <c r="E109" s="2">
        <v>180000</v>
      </c>
      <c r="F109" s="2">
        <f>Table1[[#This Row],[Quantity]]*Table1[[#This Row],[Unit_Price]]</f>
        <v>1260000</v>
      </c>
      <c r="G109" s="2" t="str">
        <f t="shared" si="1"/>
        <v>Cao</v>
      </c>
      <c r="H109" s="2" t="s">
        <v>6</v>
      </c>
      <c r="I109" s="2" t="s">
        <v>21</v>
      </c>
      <c r="J109" s="4">
        <v>45625</v>
      </c>
    </row>
    <row r="110" spans="1:10" ht="14.25" customHeight="1" x14ac:dyDescent="0.3">
      <c r="A110" s="2" t="s">
        <v>42</v>
      </c>
      <c r="B110" s="2" t="s">
        <v>65</v>
      </c>
      <c r="C110" s="2" t="s">
        <v>53</v>
      </c>
      <c r="D110" s="2">
        <v>9</v>
      </c>
      <c r="E110" s="2">
        <v>75000</v>
      </c>
      <c r="F110" s="2">
        <f>Table1[[#This Row],[Quantity]]*Table1[[#This Row],[Unit_Price]]</f>
        <v>675000</v>
      </c>
      <c r="G110" s="2" t="str">
        <f t="shared" si="1"/>
        <v>Trung bình</v>
      </c>
      <c r="H110" s="2" t="s">
        <v>6</v>
      </c>
      <c r="I110" s="2" t="s">
        <v>7</v>
      </c>
      <c r="J110" s="4">
        <v>45612</v>
      </c>
    </row>
    <row r="111" spans="1:10" ht="14.25" customHeight="1" x14ac:dyDescent="0.3">
      <c r="A111" s="2" t="s">
        <v>32</v>
      </c>
      <c r="B111" s="2" t="s">
        <v>55</v>
      </c>
      <c r="C111" s="2" t="s">
        <v>45</v>
      </c>
      <c r="D111" s="2">
        <v>7</v>
      </c>
      <c r="E111" s="2">
        <v>320000</v>
      </c>
      <c r="F111" s="2">
        <f>Table1[[#This Row],[Quantity]]*Table1[[#This Row],[Unit_Price]]</f>
        <v>2240000</v>
      </c>
      <c r="G111" s="2" t="str">
        <f t="shared" si="1"/>
        <v>Cao</v>
      </c>
      <c r="H111" s="2" t="s">
        <v>6</v>
      </c>
      <c r="I111" s="2" t="s">
        <v>7</v>
      </c>
      <c r="J111" s="4">
        <v>45609</v>
      </c>
    </row>
    <row r="112" spans="1:10" ht="14.25" customHeight="1" x14ac:dyDescent="0.3">
      <c r="A112" s="2" t="s">
        <v>26</v>
      </c>
      <c r="B112" s="2" t="s">
        <v>48</v>
      </c>
      <c r="C112" s="2" t="s">
        <v>47</v>
      </c>
      <c r="D112" s="2">
        <v>7</v>
      </c>
      <c r="E112" s="2">
        <v>150000</v>
      </c>
      <c r="F112" s="2">
        <f>Table1[[#This Row],[Quantity]]*Table1[[#This Row],[Unit_Price]]</f>
        <v>1050000</v>
      </c>
      <c r="G112" s="2" t="str">
        <f t="shared" si="1"/>
        <v>Cao</v>
      </c>
      <c r="H112" s="2" t="s">
        <v>8</v>
      </c>
      <c r="I112" s="2" t="s">
        <v>22</v>
      </c>
      <c r="J112" s="4">
        <v>45614</v>
      </c>
    </row>
    <row r="113" spans="1:10" ht="14.25" customHeight="1" x14ac:dyDescent="0.3">
      <c r="A113" s="2" t="s">
        <v>26</v>
      </c>
      <c r="B113" s="2" t="s">
        <v>48</v>
      </c>
      <c r="C113" s="2" t="s">
        <v>47</v>
      </c>
      <c r="D113" s="2">
        <v>5</v>
      </c>
      <c r="E113" s="2">
        <v>150000</v>
      </c>
      <c r="F113" s="2">
        <f>Table1[[#This Row],[Quantity]]*Table1[[#This Row],[Unit_Price]]</f>
        <v>750000</v>
      </c>
      <c r="G113" s="2" t="str">
        <f t="shared" si="1"/>
        <v>Trung bình</v>
      </c>
      <c r="H113" s="2" t="s">
        <v>6</v>
      </c>
      <c r="I113" s="2" t="s">
        <v>18</v>
      </c>
      <c r="J113" s="3">
        <v>45484</v>
      </c>
    </row>
    <row r="114" spans="1:10" ht="14.25" customHeight="1" x14ac:dyDescent="0.3">
      <c r="A114" s="2" t="s">
        <v>30</v>
      </c>
      <c r="B114" s="2" t="s">
        <v>52</v>
      </c>
      <c r="C114" s="2" t="s">
        <v>53</v>
      </c>
      <c r="D114" s="2">
        <v>4</v>
      </c>
      <c r="E114" s="2">
        <v>180000</v>
      </c>
      <c r="F114" s="2">
        <f>Table1[[#This Row],[Quantity]]*Table1[[#This Row],[Unit_Price]]</f>
        <v>720000</v>
      </c>
      <c r="G114" s="2" t="str">
        <f t="shared" si="1"/>
        <v>Trung bình</v>
      </c>
      <c r="H114" s="2" t="s">
        <v>11</v>
      </c>
      <c r="I114" s="2" t="s">
        <v>15</v>
      </c>
      <c r="J114" s="3">
        <v>45607</v>
      </c>
    </row>
    <row r="115" spans="1:10" ht="14.25" customHeight="1" x14ac:dyDescent="0.3">
      <c r="A115" s="2" t="s">
        <v>35</v>
      </c>
      <c r="B115" s="2" t="s">
        <v>58</v>
      </c>
      <c r="C115" s="2" t="s">
        <v>45</v>
      </c>
      <c r="D115" s="2">
        <v>4</v>
      </c>
      <c r="E115" s="2">
        <v>350000</v>
      </c>
      <c r="F115" s="2">
        <f>Table1[[#This Row],[Quantity]]*Table1[[#This Row],[Unit_Price]]</f>
        <v>1400000</v>
      </c>
      <c r="G115" s="2" t="str">
        <f t="shared" si="1"/>
        <v>Cao</v>
      </c>
      <c r="H115" s="2" t="s">
        <v>8</v>
      </c>
      <c r="I115" s="2" t="s">
        <v>9</v>
      </c>
      <c r="J115" s="4">
        <v>45623</v>
      </c>
    </row>
    <row r="116" spans="1:10" ht="14.25" customHeight="1" x14ac:dyDescent="0.3">
      <c r="A116" s="2" t="s">
        <v>33</v>
      </c>
      <c r="B116" s="2" t="s">
        <v>56</v>
      </c>
      <c r="C116" s="2" t="s">
        <v>45</v>
      </c>
      <c r="D116" s="2">
        <v>10</v>
      </c>
      <c r="E116" s="2">
        <v>200000</v>
      </c>
      <c r="F116" s="2">
        <f>Table1[[#This Row],[Quantity]]*Table1[[#This Row],[Unit_Price]]</f>
        <v>2000000</v>
      </c>
      <c r="G116" s="2" t="str">
        <f t="shared" si="1"/>
        <v>Cao</v>
      </c>
      <c r="H116" s="2" t="s">
        <v>6</v>
      </c>
      <c r="I116" s="2" t="s">
        <v>19</v>
      </c>
      <c r="J116" s="3">
        <v>45454</v>
      </c>
    </row>
    <row r="117" spans="1:10" ht="14.25" customHeight="1" x14ac:dyDescent="0.3">
      <c r="A117" s="2" t="s">
        <v>28</v>
      </c>
      <c r="B117" s="2" t="s">
        <v>50</v>
      </c>
      <c r="C117" s="2" t="s">
        <v>47</v>
      </c>
      <c r="D117" s="2">
        <v>5</v>
      </c>
      <c r="E117" s="2">
        <v>220000</v>
      </c>
      <c r="F117" s="2">
        <f>Table1[[#This Row],[Quantity]]*Table1[[#This Row],[Unit_Price]]</f>
        <v>1100000</v>
      </c>
      <c r="G117" s="2" t="str">
        <f t="shared" si="1"/>
        <v>Cao</v>
      </c>
      <c r="H117" s="2" t="s">
        <v>11</v>
      </c>
      <c r="I117" s="2" t="s">
        <v>13</v>
      </c>
      <c r="J117" s="4">
        <v>45615</v>
      </c>
    </row>
    <row r="118" spans="1:10" ht="14.25" customHeight="1" x14ac:dyDescent="0.3">
      <c r="A118" s="2" t="s">
        <v>36</v>
      </c>
      <c r="B118" s="2" t="s">
        <v>59</v>
      </c>
      <c r="C118" s="2" t="s">
        <v>45</v>
      </c>
      <c r="D118" s="2">
        <v>6</v>
      </c>
      <c r="E118" s="2">
        <v>150000</v>
      </c>
      <c r="F118" s="2">
        <f>Table1[[#This Row],[Quantity]]*Table1[[#This Row],[Unit_Price]]</f>
        <v>900000</v>
      </c>
      <c r="G118" s="2" t="str">
        <f t="shared" si="1"/>
        <v>Trung bình</v>
      </c>
      <c r="H118" s="2" t="s">
        <v>11</v>
      </c>
      <c r="I118" s="2" t="s">
        <v>20</v>
      </c>
      <c r="J118" s="4">
        <v>45616</v>
      </c>
    </row>
    <row r="119" spans="1:10" ht="14.25" customHeight="1" x14ac:dyDescent="0.3">
      <c r="A119" s="2" t="s">
        <v>32</v>
      </c>
      <c r="B119" s="2" t="s">
        <v>55</v>
      </c>
      <c r="C119" s="2" t="s">
        <v>45</v>
      </c>
      <c r="D119" s="2">
        <v>3</v>
      </c>
      <c r="E119" s="2">
        <v>320000</v>
      </c>
      <c r="F119" s="2">
        <f>Table1[[#This Row],[Quantity]]*Table1[[#This Row],[Unit_Price]]</f>
        <v>960000</v>
      </c>
      <c r="G119" s="2" t="str">
        <f t="shared" si="1"/>
        <v>Trung bình</v>
      </c>
      <c r="H119" s="2" t="s">
        <v>6</v>
      </c>
      <c r="I119" s="2" t="s">
        <v>18</v>
      </c>
      <c r="J119" s="4">
        <v>45621</v>
      </c>
    </row>
    <row r="120" spans="1:10" ht="14.25" customHeight="1" x14ac:dyDescent="0.3">
      <c r="A120" s="2" t="s">
        <v>29</v>
      </c>
      <c r="B120" s="2" t="s">
        <v>51</v>
      </c>
      <c r="C120" s="2" t="s">
        <v>45</v>
      </c>
      <c r="D120" s="2">
        <v>2</v>
      </c>
      <c r="E120" s="2">
        <v>120000</v>
      </c>
      <c r="F120" s="2">
        <f>Table1[[#This Row],[Quantity]]*Table1[[#This Row],[Unit_Price]]</f>
        <v>240000</v>
      </c>
      <c r="G120" s="2" t="str">
        <f t="shared" si="1"/>
        <v>Thấp</v>
      </c>
      <c r="H120" s="2" t="s">
        <v>6</v>
      </c>
      <c r="I120" s="2" t="s">
        <v>18</v>
      </c>
      <c r="J120" s="4">
        <v>45623</v>
      </c>
    </row>
    <row r="121" spans="1:10" ht="14.25" customHeight="1" x14ac:dyDescent="0.3">
      <c r="A121" s="2" t="s">
        <v>43</v>
      </c>
      <c r="B121" s="2" t="s">
        <v>66</v>
      </c>
      <c r="C121" s="2" t="s">
        <v>53</v>
      </c>
      <c r="D121" s="2">
        <v>5</v>
      </c>
      <c r="E121" s="2">
        <v>250000</v>
      </c>
      <c r="F121" s="2">
        <f>Table1[[#This Row],[Quantity]]*Table1[[#This Row],[Unit_Price]]</f>
        <v>1250000</v>
      </c>
      <c r="G121" s="2" t="str">
        <f t="shared" si="1"/>
        <v>Cao</v>
      </c>
      <c r="H121" s="2" t="s">
        <v>11</v>
      </c>
      <c r="I121" s="2" t="s">
        <v>13</v>
      </c>
      <c r="J121" s="4">
        <v>45612</v>
      </c>
    </row>
    <row r="122" spans="1:10" ht="14.25" customHeight="1" x14ac:dyDescent="0.3">
      <c r="A122" s="2" t="s">
        <v>28</v>
      </c>
      <c r="B122" s="2" t="s">
        <v>50</v>
      </c>
      <c r="C122" s="2" t="s">
        <v>47</v>
      </c>
      <c r="D122" s="2">
        <v>9</v>
      </c>
      <c r="E122" s="2">
        <v>220000</v>
      </c>
      <c r="F122" s="2">
        <f>Table1[[#This Row],[Quantity]]*Table1[[#This Row],[Unit_Price]]</f>
        <v>1980000</v>
      </c>
      <c r="G122" s="2" t="str">
        <f t="shared" si="1"/>
        <v>Cao</v>
      </c>
      <c r="H122" s="2" t="s">
        <v>6</v>
      </c>
      <c r="I122" s="2" t="s">
        <v>7</v>
      </c>
      <c r="J122" s="4">
        <v>45622</v>
      </c>
    </row>
    <row r="123" spans="1:10" ht="14.25" customHeight="1" x14ac:dyDescent="0.3">
      <c r="A123" s="2" t="s">
        <v>27</v>
      </c>
      <c r="B123" s="2" t="s">
        <v>49</v>
      </c>
      <c r="C123" s="2" t="s">
        <v>45</v>
      </c>
      <c r="D123" s="2">
        <v>5</v>
      </c>
      <c r="E123" s="2">
        <v>550000</v>
      </c>
      <c r="F123" s="2">
        <f>Table1[[#This Row],[Quantity]]*Table1[[#This Row],[Unit_Price]]</f>
        <v>2750000</v>
      </c>
      <c r="G123" s="2" t="str">
        <f t="shared" si="1"/>
        <v>Cao</v>
      </c>
      <c r="H123" s="2" t="s">
        <v>6</v>
      </c>
      <c r="I123" s="2" t="s">
        <v>19</v>
      </c>
      <c r="J123" s="4">
        <v>45618</v>
      </c>
    </row>
    <row r="124" spans="1:10" ht="14.25" customHeight="1" x14ac:dyDescent="0.3">
      <c r="A124" s="2" t="s">
        <v>39</v>
      </c>
      <c r="B124" s="2" t="s">
        <v>62</v>
      </c>
      <c r="C124" s="2" t="s">
        <v>47</v>
      </c>
      <c r="D124" s="2">
        <v>6</v>
      </c>
      <c r="E124" s="2">
        <v>130000</v>
      </c>
      <c r="F124" s="2">
        <f>Table1[[#This Row],[Quantity]]*Table1[[#This Row],[Unit_Price]]</f>
        <v>780000</v>
      </c>
      <c r="G124" s="2" t="str">
        <f t="shared" si="1"/>
        <v>Trung bình</v>
      </c>
      <c r="H124" s="2" t="s">
        <v>6</v>
      </c>
      <c r="I124" s="2" t="s">
        <v>18</v>
      </c>
      <c r="J124" s="4">
        <v>45609</v>
      </c>
    </row>
    <row r="125" spans="1:10" ht="14.25" customHeight="1" x14ac:dyDescent="0.3">
      <c r="A125" s="2" t="s">
        <v>31</v>
      </c>
      <c r="B125" s="2" t="s">
        <v>54</v>
      </c>
      <c r="C125" s="2" t="s">
        <v>53</v>
      </c>
      <c r="D125" s="2">
        <v>6</v>
      </c>
      <c r="E125" s="2">
        <v>220000</v>
      </c>
      <c r="F125" s="2">
        <f>Table1[[#This Row],[Quantity]]*Table1[[#This Row],[Unit_Price]]</f>
        <v>1320000</v>
      </c>
      <c r="G125" s="2" t="str">
        <f t="shared" si="1"/>
        <v>Cao</v>
      </c>
      <c r="H125" s="2" t="s">
        <v>8</v>
      </c>
      <c r="I125" s="2" t="s">
        <v>9</v>
      </c>
      <c r="J125" s="4">
        <v>45621</v>
      </c>
    </row>
    <row r="126" spans="1:10" ht="14.25" customHeight="1" x14ac:dyDescent="0.3">
      <c r="A126" s="2" t="s">
        <v>25</v>
      </c>
      <c r="B126" s="2" t="s">
        <v>46</v>
      </c>
      <c r="C126" s="2" t="s">
        <v>47</v>
      </c>
      <c r="D126" s="2">
        <v>2</v>
      </c>
      <c r="E126" s="2">
        <v>280000</v>
      </c>
      <c r="F126" s="2">
        <f>Table1[[#This Row],[Quantity]]*Table1[[#This Row],[Unit_Price]]</f>
        <v>560000</v>
      </c>
      <c r="G126" s="2" t="str">
        <f t="shared" si="1"/>
        <v>Trung bình</v>
      </c>
      <c r="H126" s="2" t="s">
        <v>8</v>
      </c>
      <c r="I126" s="2" t="s">
        <v>22</v>
      </c>
      <c r="J126" s="4">
        <v>45617</v>
      </c>
    </row>
    <row r="127" spans="1:10" ht="14.25" customHeight="1" x14ac:dyDescent="0.3">
      <c r="A127" s="2" t="s">
        <v>32</v>
      </c>
      <c r="B127" s="2" t="s">
        <v>55</v>
      </c>
      <c r="C127" s="2" t="s">
        <v>45</v>
      </c>
      <c r="D127" s="2">
        <v>7</v>
      </c>
      <c r="E127" s="2">
        <v>320000</v>
      </c>
      <c r="F127" s="2">
        <f>Table1[[#This Row],[Quantity]]*Table1[[#This Row],[Unit_Price]]</f>
        <v>2240000</v>
      </c>
      <c r="G127" s="2" t="str">
        <f t="shared" si="1"/>
        <v>Cao</v>
      </c>
      <c r="H127" s="2" t="s">
        <v>11</v>
      </c>
      <c r="I127" s="2" t="s">
        <v>16</v>
      </c>
      <c r="J127" s="4">
        <v>45614</v>
      </c>
    </row>
    <row r="128" spans="1:10" ht="14.25" customHeight="1" x14ac:dyDescent="0.3">
      <c r="A128" s="2" t="s">
        <v>38</v>
      </c>
      <c r="B128" s="2" t="s">
        <v>61</v>
      </c>
      <c r="C128" s="2" t="s">
        <v>53</v>
      </c>
      <c r="D128" s="2">
        <v>4</v>
      </c>
      <c r="E128" s="2">
        <v>85000</v>
      </c>
      <c r="F128" s="2">
        <f>Table1[[#This Row],[Quantity]]*Table1[[#This Row],[Unit_Price]]</f>
        <v>340000</v>
      </c>
      <c r="G128" s="2" t="str">
        <f t="shared" si="1"/>
        <v>Thấp</v>
      </c>
      <c r="H128" s="2" t="s">
        <v>8</v>
      </c>
      <c r="I128" s="2" t="s">
        <v>23</v>
      </c>
      <c r="J128" s="3">
        <v>45333</v>
      </c>
    </row>
    <row r="129" spans="1:10" ht="14.25" customHeight="1" x14ac:dyDescent="0.3">
      <c r="A129" s="2" t="s">
        <v>34</v>
      </c>
      <c r="B129" s="2" t="s">
        <v>57</v>
      </c>
      <c r="C129" s="2" t="s">
        <v>47</v>
      </c>
      <c r="D129" s="2">
        <v>8</v>
      </c>
      <c r="E129" s="2">
        <v>195000</v>
      </c>
      <c r="F129" s="2">
        <f>Table1[[#This Row],[Quantity]]*Table1[[#This Row],[Unit_Price]]</f>
        <v>1560000</v>
      </c>
      <c r="G129" s="2" t="str">
        <f t="shared" si="1"/>
        <v>Cao</v>
      </c>
      <c r="H129" s="2" t="s">
        <v>8</v>
      </c>
      <c r="I129" s="2" t="s">
        <v>9</v>
      </c>
      <c r="J129" s="4">
        <v>45618</v>
      </c>
    </row>
    <row r="130" spans="1:10" ht="14.25" customHeight="1" x14ac:dyDescent="0.3">
      <c r="A130" s="2" t="s">
        <v>43</v>
      </c>
      <c r="B130" s="2" t="s">
        <v>66</v>
      </c>
      <c r="C130" s="2" t="s">
        <v>53</v>
      </c>
      <c r="D130" s="2">
        <v>4</v>
      </c>
      <c r="E130" s="2">
        <v>250000</v>
      </c>
      <c r="F130" s="2">
        <f>Table1[[#This Row],[Quantity]]*Table1[[#This Row],[Unit_Price]]</f>
        <v>1000000</v>
      </c>
      <c r="G130" s="2" t="str">
        <f t="shared" ref="G130:G193" si="2">_xlfn.IFS(F130&gt;=1000000,"Cao",F130&gt;=500000,"Trung bình",F130&lt;500000,"Thấp")</f>
        <v>Cao</v>
      </c>
      <c r="H130" s="2" t="s">
        <v>6</v>
      </c>
      <c r="I130" s="2" t="s">
        <v>19</v>
      </c>
      <c r="J130" s="3">
        <v>45423</v>
      </c>
    </row>
    <row r="131" spans="1:10" ht="14.25" customHeight="1" x14ac:dyDescent="0.3">
      <c r="A131" s="2" t="s">
        <v>35</v>
      </c>
      <c r="B131" s="2" t="s">
        <v>58</v>
      </c>
      <c r="C131" s="2" t="s">
        <v>45</v>
      </c>
      <c r="D131" s="2">
        <v>4</v>
      </c>
      <c r="E131" s="2">
        <v>350000</v>
      </c>
      <c r="F131" s="2">
        <f>Table1[[#This Row],[Quantity]]*Table1[[#This Row],[Unit_Price]]</f>
        <v>1400000</v>
      </c>
      <c r="G131" s="2" t="str">
        <f t="shared" si="2"/>
        <v>Cao</v>
      </c>
      <c r="H131" s="2" t="s">
        <v>11</v>
      </c>
      <c r="I131" s="2" t="s">
        <v>20</v>
      </c>
      <c r="J131" s="4">
        <v>45624</v>
      </c>
    </row>
    <row r="132" spans="1:10" ht="14.25" customHeight="1" x14ac:dyDescent="0.3">
      <c r="A132" s="2" t="s">
        <v>42</v>
      </c>
      <c r="B132" s="2" t="s">
        <v>65</v>
      </c>
      <c r="C132" s="2" t="s">
        <v>53</v>
      </c>
      <c r="D132" s="2">
        <v>1</v>
      </c>
      <c r="E132" s="2">
        <v>75000</v>
      </c>
      <c r="F132" s="2">
        <f>Table1[[#This Row],[Quantity]]*Table1[[#This Row],[Unit_Price]]</f>
        <v>75000</v>
      </c>
      <c r="G132" s="2" t="str">
        <f t="shared" si="2"/>
        <v>Thấp</v>
      </c>
      <c r="H132" s="2" t="s">
        <v>8</v>
      </c>
      <c r="I132" s="2" t="s">
        <v>14</v>
      </c>
      <c r="J132" s="3">
        <v>45333</v>
      </c>
    </row>
    <row r="133" spans="1:10" ht="14.25" customHeight="1" x14ac:dyDescent="0.3">
      <c r="A133" s="2" t="s">
        <v>32</v>
      </c>
      <c r="B133" s="2" t="s">
        <v>55</v>
      </c>
      <c r="C133" s="2" t="s">
        <v>45</v>
      </c>
      <c r="D133" s="2">
        <v>9</v>
      </c>
      <c r="E133" s="2">
        <v>320000</v>
      </c>
      <c r="F133" s="2">
        <f>Table1[[#This Row],[Quantity]]*Table1[[#This Row],[Unit_Price]]</f>
        <v>2880000</v>
      </c>
      <c r="G133" s="2" t="str">
        <f t="shared" si="2"/>
        <v>Cao</v>
      </c>
      <c r="H133" s="2" t="s">
        <v>8</v>
      </c>
      <c r="I133" s="2" t="s">
        <v>9</v>
      </c>
      <c r="J133" s="4">
        <v>45616</v>
      </c>
    </row>
    <row r="134" spans="1:10" ht="14.25" customHeight="1" x14ac:dyDescent="0.3">
      <c r="A134" s="2" t="s">
        <v>34</v>
      </c>
      <c r="B134" s="2" t="s">
        <v>57</v>
      </c>
      <c r="C134" s="2" t="s">
        <v>47</v>
      </c>
      <c r="D134" s="2">
        <v>9</v>
      </c>
      <c r="E134" s="2">
        <v>195000</v>
      </c>
      <c r="F134" s="2">
        <f>Table1[[#This Row],[Quantity]]*Table1[[#This Row],[Unit_Price]]</f>
        <v>1755000</v>
      </c>
      <c r="G134" s="2" t="str">
        <f t="shared" si="2"/>
        <v>Cao</v>
      </c>
      <c r="H134" s="2" t="s">
        <v>6</v>
      </c>
      <c r="I134" s="2" t="s">
        <v>18</v>
      </c>
      <c r="J134" s="3">
        <v>45362</v>
      </c>
    </row>
    <row r="135" spans="1:10" ht="14.25" customHeight="1" x14ac:dyDescent="0.3">
      <c r="A135" s="2" t="s">
        <v>25</v>
      </c>
      <c r="B135" s="2" t="s">
        <v>46</v>
      </c>
      <c r="C135" s="2" t="s">
        <v>47</v>
      </c>
      <c r="D135" s="2">
        <v>6</v>
      </c>
      <c r="E135" s="2">
        <v>280000</v>
      </c>
      <c r="F135" s="2">
        <f>Table1[[#This Row],[Quantity]]*Table1[[#This Row],[Unit_Price]]</f>
        <v>1680000</v>
      </c>
      <c r="G135" s="2" t="str">
        <f t="shared" si="2"/>
        <v>Cao</v>
      </c>
      <c r="H135" s="2" t="s">
        <v>8</v>
      </c>
      <c r="I135" s="2" t="s">
        <v>14</v>
      </c>
      <c r="J135" s="3">
        <v>45637</v>
      </c>
    </row>
    <row r="136" spans="1:10" ht="14.25" customHeight="1" x14ac:dyDescent="0.3">
      <c r="A136" s="2" t="s">
        <v>33</v>
      </c>
      <c r="B136" s="2" t="s">
        <v>56</v>
      </c>
      <c r="C136" s="2" t="s">
        <v>45</v>
      </c>
      <c r="D136" s="2">
        <v>3</v>
      </c>
      <c r="E136" s="2">
        <v>200000</v>
      </c>
      <c r="F136" s="2">
        <f>Table1[[#This Row],[Quantity]]*Table1[[#This Row],[Unit_Price]]</f>
        <v>600000</v>
      </c>
      <c r="G136" s="2" t="str">
        <f t="shared" si="2"/>
        <v>Trung bình</v>
      </c>
      <c r="H136" s="2" t="s">
        <v>6</v>
      </c>
      <c r="I136" s="2" t="s">
        <v>21</v>
      </c>
      <c r="J136" s="3">
        <v>45362</v>
      </c>
    </row>
    <row r="137" spans="1:10" ht="14.25" customHeight="1" x14ac:dyDescent="0.3">
      <c r="A137" s="2" t="s">
        <v>25</v>
      </c>
      <c r="B137" s="2" t="s">
        <v>46</v>
      </c>
      <c r="C137" s="2" t="s">
        <v>47</v>
      </c>
      <c r="D137" s="2">
        <v>2</v>
      </c>
      <c r="E137" s="2">
        <v>280000</v>
      </c>
      <c r="F137" s="2">
        <f>Table1[[#This Row],[Quantity]]*Table1[[#This Row],[Unit_Price]]</f>
        <v>560000</v>
      </c>
      <c r="G137" s="2" t="str">
        <f t="shared" si="2"/>
        <v>Trung bình</v>
      </c>
      <c r="H137" s="2" t="s">
        <v>11</v>
      </c>
      <c r="I137" s="2" t="s">
        <v>13</v>
      </c>
      <c r="J137" s="3">
        <v>45393</v>
      </c>
    </row>
    <row r="138" spans="1:10" ht="14.25" customHeight="1" x14ac:dyDescent="0.3">
      <c r="A138" s="2" t="s">
        <v>41</v>
      </c>
      <c r="B138" s="2" t="s">
        <v>64</v>
      </c>
      <c r="C138" s="2" t="s">
        <v>47</v>
      </c>
      <c r="D138" s="2">
        <v>1</v>
      </c>
      <c r="E138" s="2">
        <v>350000</v>
      </c>
      <c r="F138" s="2">
        <f>Table1[[#This Row],[Quantity]]*Table1[[#This Row],[Unit_Price]]</f>
        <v>350000</v>
      </c>
      <c r="G138" s="2" t="str">
        <f t="shared" si="2"/>
        <v>Thấp</v>
      </c>
      <c r="H138" s="2" t="s">
        <v>11</v>
      </c>
      <c r="I138" s="2" t="s">
        <v>16</v>
      </c>
      <c r="J138" s="4">
        <v>45626</v>
      </c>
    </row>
    <row r="139" spans="1:10" ht="14.25" customHeight="1" x14ac:dyDescent="0.3">
      <c r="A139" s="2" t="s">
        <v>25</v>
      </c>
      <c r="B139" s="2" t="s">
        <v>46</v>
      </c>
      <c r="C139" s="2" t="s">
        <v>47</v>
      </c>
      <c r="D139" s="2">
        <v>6</v>
      </c>
      <c r="E139" s="2">
        <v>280000</v>
      </c>
      <c r="F139" s="2">
        <f>Table1[[#This Row],[Quantity]]*Table1[[#This Row],[Unit_Price]]</f>
        <v>1680000</v>
      </c>
      <c r="G139" s="2" t="str">
        <f t="shared" si="2"/>
        <v>Cao</v>
      </c>
      <c r="H139" s="2" t="s">
        <v>6</v>
      </c>
      <c r="I139" s="2" t="s">
        <v>21</v>
      </c>
      <c r="J139" s="4">
        <v>45613</v>
      </c>
    </row>
    <row r="140" spans="1:10" ht="14.25" customHeight="1" x14ac:dyDescent="0.3">
      <c r="A140" s="2" t="s">
        <v>29</v>
      </c>
      <c r="B140" s="2" t="s">
        <v>51</v>
      </c>
      <c r="C140" s="2" t="s">
        <v>45</v>
      </c>
      <c r="D140" s="2">
        <v>7</v>
      </c>
      <c r="E140" s="2">
        <v>120000</v>
      </c>
      <c r="F140" s="2">
        <f>Table1[[#This Row],[Quantity]]*Table1[[#This Row],[Unit_Price]]</f>
        <v>840000</v>
      </c>
      <c r="G140" s="2" t="str">
        <f t="shared" si="2"/>
        <v>Trung bình</v>
      </c>
      <c r="H140" s="2" t="s">
        <v>6</v>
      </c>
      <c r="I140" s="2" t="s">
        <v>19</v>
      </c>
      <c r="J140" s="4">
        <v>45626</v>
      </c>
    </row>
    <row r="141" spans="1:10" ht="14.25" customHeight="1" x14ac:dyDescent="0.3">
      <c r="A141" s="2" t="s">
        <v>38</v>
      </c>
      <c r="B141" s="2" t="s">
        <v>61</v>
      </c>
      <c r="C141" s="2" t="s">
        <v>53</v>
      </c>
      <c r="D141" s="2">
        <v>2</v>
      </c>
      <c r="E141" s="2">
        <v>85000</v>
      </c>
      <c r="F141" s="2">
        <f>Table1[[#This Row],[Quantity]]*Table1[[#This Row],[Unit_Price]]</f>
        <v>170000</v>
      </c>
      <c r="G141" s="2" t="str">
        <f t="shared" si="2"/>
        <v>Thấp</v>
      </c>
      <c r="H141" s="2" t="s">
        <v>8</v>
      </c>
      <c r="I141" s="2" t="s">
        <v>9</v>
      </c>
      <c r="J141" s="4">
        <v>45623</v>
      </c>
    </row>
    <row r="142" spans="1:10" ht="14.25" customHeight="1" x14ac:dyDescent="0.3">
      <c r="A142" s="2" t="s">
        <v>31</v>
      </c>
      <c r="B142" s="2" t="s">
        <v>54</v>
      </c>
      <c r="C142" s="2" t="s">
        <v>53</v>
      </c>
      <c r="D142" s="2">
        <v>8</v>
      </c>
      <c r="E142" s="2">
        <v>220000</v>
      </c>
      <c r="F142" s="2">
        <f>Table1[[#This Row],[Quantity]]*Table1[[#This Row],[Unit_Price]]</f>
        <v>1760000</v>
      </c>
      <c r="G142" s="2" t="str">
        <f t="shared" si="2"/>
        <v>Cao</v>
      </c>
      <c r="H142" s="2" t="s">
        <v>8</v>
      </c>
      <c r="I142" s="2" t="s">
        <v>9</v>
      </c>
      <c r="J142" s="4">
        <v>45610</v>
      </c>
    </row>
    <row r="143" spans="1:10" ht="14.25" customHeight="1" x14ac:dyDescent="0.3">
      <c r="A143" s="2" t="s">
        <v>43</v>
      </c>
      <c r="B143" s="2" t="s">
        <v>66</v>
      </c>
      <c r="C143" s="2" t="s">
        <v>53</v>
      </c>
      <c r="D143" s="2">
        <v>9</v>
      </c>
      <c r="E143" s="2">
        <v>250000</v>
      </c>
      <c r="F143" s="2">
        <f>Table1[[#This Row],[Quantity]]*Table1[[#This Row],[Unit_Price]]</f>
        <v>2250000</v>
      </c>
      <c r="G143" s="2" t="str">
        <f t="shared" si="2"/>
        <v>Cao</v>
      </c>
      <c r="H143" s="2" t="s">
        <v>6</v>
      </c>
      <c r="I143" s="2" t="s">
        <v>21</v>
      </c>
      <c r="J143" s="4">
        <v>45618</v>
      </c>
    </row>
    <row r="144" spans="1:10" ht="14.25" customHeight="1" x14ac:dyDescent="0.3">
      <c r="A144" s="2" t="s">
        <v>26</v>
      </c>
      <c r="B144" s="2" t="s">
        <v>48</v>
      </c>
      <c r="C144" s="2" t="s">
        <v>47</v>
      </c>
      <c r="D144" s="2">
        <v>3</v>
      </c>
      <c r="E144" s="2">
        <v>150000</v>
      </c>
      <c r="F144" s="2">
        <f>Table1[[#This Row],[Quantity]]*Table1[[#This Row],[Unit_Price]]</f>
        <v>450000</v>
      </c>
      <c r="G144" s="2" t="str">
        <f t="shared" si="2"/>
        <v>Thấp</v>
      </c>
      <c r="H144" s="2" t="s">
        <v>6</v>
      </c>
      <c r="I144" s="2" t="s">
        <v>17</v>
      </c>
      <c r="J144" s="4">
        <v>45622</v>
      </c>
    </row>
    <row r="145" spans="1:10" ht="14.25" customHeight="1" x14ac:dyDescent="0.3">
      <c r="A145" s="2" t="s">
        <v>35</v>
      </c>
      <c r="B145" s="2" t="s">
        <v>58</v>
      </c>
      <c r="C145" s="2" t="s">
        <v>45</v>
      </c>
      <c r="D145" s="2">
        <v>8</v>
      </c>
      <c r="E145" s="2">
        <v>350000</v>
      </c>
      <c r="F145" s="2">
        <f>Table1[[#This Row],[Quantity]]*Table1[[#This Row],[Unit_Price]]</f>
        <v>2800000</v>
      </c>
      <c r="G145" s="2" t="str">
        <f t="shared" si="2"/>
        <v>Cao</v>
      </c>
      <c r="H145" s="2" t="s">
        <v>8</v>
      </c>
      <c r="I145" s="2" t="s">
        <v>14</v>
      </c>
      <c r="J145" s="4">
        <v>45625</v>
      </c>
    </row>
    <row r="146" spans="1:10" ht="14.25" customHeight="1" x14ac:dyDescent="0.3">
      <c r="A146" s="2" t="s">
        <v>25</v>
      </c>
      <c r="B146" s="2" t="s">
        <v>46</v>
      </c>
      <c r="C146" s="2" t="s">
        <v>47</v>
      </c>
      <c r="D146" s="2">
        <v>10</v>
      </c>
      <c r="E146" s="2">
        <v>280000</v>
      </c>
      <c r="F146" s="2">
        <f>Table1[[#This Row],[Quantity]]*Table1[[#This Row],[Unit_Price]]</f>
        <v>2800000</v>
      </c>
      <c r="G146" s="2" t="str">
        <f t="shared" si="2"/>
        <v>Cao</v>
      </c>
      <c r="H146" s="2" t="s">
        <v>8</v>
      </c>
      <c r="I146" s="2" t="s">
        <v>23</v>
      </c>
      <c r="J146" s="4">
        <v>45611</v>
      </c>
    </row>
    <row r="147" spans="1:10" ht="14.25" customHeight="1" x14ac:dyDescent="0.3">
      <c r="A147" s="2" t="s">
        <v>28</v>
      </c>
      <c r="B147" s="2" t="s">
        <v>50</v>
      </c>
      <c r="C147" s="2" t="s">
        <v>47</v>
      </c>
      <c r="D147" s="2">
        <v>4</v>
      </c>
      <c r="E147" s="2">
        <v>220000</v>
      </c>
      <c r="F147" s="2">
        <f>Table1[[#This Row],[Quantity]]*Table1[[#This Row],[Unit_Price]]</f>
        <v>880000</v>
      </c>
      <c r="G147" s="2" t="str">
        <f t="shared" si="2"/>
        <v>Trung bình</v>
      </c>
      <c r="H147" s="2" t="s">
        <v>11</v>
      </c>
      <c r="I147" s="2" t="s">
        <v>13</v>
      </c>
      <c r="J147" s="3">
        <v>45515</v>
      </c>
    </row>
    <row r="148" spans="1:10" ht="14.25" customHeight="1" x14ac:dyDescent="0.3">
      <c r="A148" s="2" t="s">
        <v>26</v>
      </c>
      <c r="B148" s="2" t="s">
        <v>48</v>
      </c>
      <c r="C148" s="2" t="s">
        <v>47</v>
      </c>
      <c r="D148" s="2">
        <v>3</v>
      </c>
      <c r="E148" s="2">
        <v>150000</v>
      </c>
      <c r="F148" s="2">
        <f>Table1[[#This Row],[Quantity]]*Table1[[#This Row],[Unit_Price]]</f>
        <v>450000</v>
      </c>
      <c r="G148" s="2" t="str">
        <f t="shared" si="2"/>
        <v>Thấp</v>
      </c>
      <c r="H148" s="2" t="s">
        <v>8</v>
      </c>
      <c r="I148" s="2" t="s">
        <v>9</v>
      </c>
      <c r="J148" s="4">
        <v>45625</v>
      </c>
    </row>
    <row r="149" spans="1:10" ht="14.25" customHeight="1" x14ac:dyDescent="0.3">
      <c r="A149" s="2" t="s">
        <v>31</v>
      </c>
      <c r="B149" s="2" t="s">
        <v>54</v>
      </c>
      <c r="C149" s="2" t="s">
        <v>53</v>
      </c>
      <c r="D149" s="2">
        <v>7</v>
      </c>
      <c r="E149" s="2">
        <v>220000</v>
      </c>
      <c r="F149" s="2">
        <f>Table1[[#This Row],[Quantity]]*Table1[[#This Row],[Unit_Price]]</f>
        <v>1540000</v>
      </c>
      <c r="G149" s="2" t="str">
        <f t="shared" si="2"/>
        <v>Cao</v>
      </c>
      <c r="H149" s="2" t="s">
        <v>6</v>
      </c>
      <c r="I149" s="2" t="s">
        <v>10</v>
      </c>
      <c r="J149" s="4">
        <v>45621</v>
      </c>
    </row>
    <row r="150" spans="1:10" ht="14.25" customHeight="1" x14ac:dyDescent="0.3">
      <c r="A150" s="2" t="s">
        <v>24</v>
      </c>
      <c r="B150" s="2" t="s">
        <v>44</v>
      </c>
      <c r="C150" s="2" t="s">
        <v>45</v>
      </c>
      <c r="D150" s="2">
        <v>1</v>
      </c>
      <c r="E150" s="2">
        <v>280000</v>
      </c>
      <c r="F150" s="2">
        <f>Table1[[#This Row],[Quantity]]*Table1[[#This Row],[Unit_Price]]</f>
        <v>280000</v>
      </c>
      <c r="G150" s="2" t="str">
        <f t="shared" si="2"/>
        <v>Thấp</v>
      </c>
      <c r="H150" s="2" t="s">
        <v>6</v>
      </c>
      <c r="I150" s="2" t="s">
        <v>19</v>
      </c>
      <c r="J150" s="3">
        <v>45484</v>
      </c>
    </row>
    <row r="151" spans="1:10" ht="14.25" customHeight="1" x14ac:dyDescent="0.3">
      <c r="A151" s="2" t="s">
        <v>35</v>
      </c>
      <c r="B151" s="2" t="s">
        <v>58</v>
      </c>
      <c r="C151" s="2" t="s">
        <v>45</v>
      </c>
      <c r="D151" s="2">
        <v>4</v>
      </c>
      <c r="E151" s="2">
        <v>350000</v>
      </c>
      <c r="F151" s="2">
        <f>Table1[[#This Row],[Quantity]]*Table1[[#This Row],[Unit_Price]]</f>
        <v>1400000</v>
      </c>
      <c r="G151" s="2" t="str">
        <f t="shared" si="2"/>
        <v>Cao</v>
      </c>
      <c r="H151" s="2" t="s">
        <v>6</v>
      </c>
      <c r="I151" s="2" t="s">
        <v>17</v>
      </c>
      <c r="J151" s="4">
        <v>45625</v>
      </c>
    </row>
    <row r="152" spans="1:10" ht="14.25" customHeight="1" x14ac:dyDescent="0.3">
      <c r="A152" s="2" t="s">
        <v>35</v>
      </c>
      <c r="B152" s="2" t="s">
        <v>58</v>
      </c>
      <c r="C152" s="2" t="s">
        <v>45</v>
      </c>
      <c r="D152" s="2">
        <v>8</v>
      </c>
      <c r="E152" s="2">
        <v>350000</v>
      </c>
      <c r="F152" s="2">
        <f>Table1[[#This Row],[Quantity]]*Table1[[#This Row],[Unit_Price]]</f>
        <v>2800000</v>
      </c>
      <c r="G152" s="2" t="str">
        <f t="shared" si="2"/>
        <v>Cao</v>
      </c>
      <c r="H152" s="2" t="s">
        <v>8</v>
      </c>
      <c r="I152" s="2" t="s">
        <v>14</v>
      </c>
      <c r="J152" s="3">
        <v>45423</v>
      </c>
    </row>
    <row r="153" spans="1:10" ht="14.25" customHeight="1" x14ac:dyDescent="0.3">
      <c r="A153" s="2" t="s">
        <v>37</v>
      </c>
      <c r="B153" s="2" t="s">
        <v>60</v>
      </c>
      <c r="C153" s="2" t="s">
        <v>53</v>
      </c>
      <c r="D153" s="2">
        <v>4</v>
      </c>
      <c r="E153" s="2">
        <v>180000</v>
      </c>
      <c r="F153" s="2">
        <f>Table1[[#This Row],[Quantity]]*Table1[[#This Row],[Unit_Price]]</f>
        <v>720000</v>
      </c>
      <c r="G153" s="2" t="str">
        <f t="shared" si="2"/>
        <v>Trung bình</v>
      </c>
      <c r="H153" s="2" t="s">
        <v>8</v>
      </c>
      <c r="I153" s="2" t="s">
        <v>22</v>
      </c>
      <c r="J153" s="4">
        <v>45617</v>
      </c>
    </row>
    <row r="154" spans="1:10" ht="14.25" customHeight="1" x14ac:dyDescent="0.3">
      <c r="A154" s="2" t="s">
        <v>27</v>
      </c>
      <c r="B154" s="2" t="s">
        <v>49</v>
      </c>
      <c r="C154" s="2" t="s">
        <v>45</v>
      </c>
      <c r="D154" s="2">
        <v>7</v>
      </c>
      <c r="E154" s="2">
        <v>550000</v>
      </c>
      <c r="F154" s="2">
        <f>Table1[[#This Row],[Quantity]]*Table1[[#This Row],[Unit_Price]]</f>
        <v>3850000</v>
      </c>
      <c r="G154" s="2" t="str">
        <f t="shared" si="2"/>
        <v>Cao</v>
      </c>
      <c r="H154" s="2" t="s">
        <v>11</v>
      </c>
      <c r="I154" s="2" t="s">
        <v>12</v>
      </c>
      <c r="J154" s="4">
        <v>45612</v>
      </c>
    </row>
    <row r="155" spans="1:10" ht="14.25" customHeight="1" x14ac:dyDescent="0.3">
      <c r="A155" s="2" t="s">
        <v>31</v>
      </c>
      <c r="B155" s="2" t="s">
        <v>54</v>
      </c>
      <c r="C155" s="2" t="s">
        <v>53</v>
      </c>
      <c r="D155" s="2">
        <v>5</v>
      </c>
      <c r="E155" s="2">
        <v>220000</v>
      </c>
      <c r="F155" s="2">
        <f>Table1[[#This Row],[Quantity]]*Table1[[#This Row],[Unit_Price]]</f>
        <v>1100000</v>
      </c>
      <c r="G155" s="2" t="str">
        <f t="shared" si="2"/>
        <v>Cao</v>
      </c>
      <c r="H155" s="2" t="s">
        <v>8</v>
      </c>
      <c r="I155" s="2" t="s">
        <v>22</v>
      </c>
      <c r="J155" s="3">
        <v>45333</v>
      </c>
    </row>
    <row r="156" spans="1:10" ht="14.25" customHeight="1" x14ac:dyDescent="0.3">
      <c r="A156" s="2" t="s">
        <v>42</v>
      </c>
      <c r="B156" s="2" t="s">
        <v>65</v>
      </c>
      <c r="C156" s="2" t="s">
        <v>53</v>
      </c>
      <c r="D156" s="2">
        <v>2</v>
      </c>
      <c r="E156" s="2">
        <v>75000</v>
      </c>
      <c r="F156" s="2">
        <f>Table1[[#This Row],[Quantity]]*Table1[[#This Row],[Unit_Price]]</f>
        <v>150000</v>
      </c>
      <c r="G156" s="2" t="str">
        <f t="shared" si="2"/>
        <v>Thấp</v>
      </c>
      <c r="H156" s="2" t="s">
        <v>11</v>
      </c>
      <c r="I156" s="2" t="s">
        <v>16</v>
      </c>
      <c r="J156" s="4">
        <v>45610</v>
      </c>
    </row>
    <row r="157" spans="1:10" ht="14.25" customHeight="1" x14ac:dyDescent="0.3">
      <c r="A157" s="2" t="s">
        <v>28</v>
      </c>
      <c r="B157" s="2" t="s">
        <v>50</v>
      </c>
      <c r="C157" s="2" t="s">
        <v>47</v>
      </c>
      <c r="D157" s="2">
        <v>6</v>
      </c>
      <c r="E157" s="2">
        <v>220000</v>
      </c>
      <c r="F157" s="2">
        <f>Table1[[#This Row],[Quantity]]*Table1[[#This Row],[Unit_Price]]</f>
        <v>1320000</v>
      </c>
      <c r="G157" s="2" t="str">
        <f t="shared" si="2"/>
        <v>Cao</v>
      </c>
      <c r="H157" s="2" t="s">
        <v>11</v>
      </c>
      <c r="I157" s="2" t="s">
        <v>20</v>
      </c>
      <c r="J157" s="4">
        <v>45623</v>
      </c>
    </row>
    <row r="158" spans="1:10" ht="14.25" customHeight="1" x14ac:dyDescent="0.3">
      <c r="A158" s="2" t="s">
        <v>33</v>
      </c>
      <c r="B158" s="2" t="s">
        <v>56</v>
      </c>
      <c r="C158" s="2" t="s">
        <v>45</v>
      </c>
      <c r="D158" s="2">
        <v>9</v>
      </c>
      <c r="E158" s="2">
        <v>200000</v>
      </c>
      <c r="F158" s="2">
        <f>Table1[[#This Row],[Quantity]]*Table1[[#This Row],[Unit_Price]]</f>
        <v>1800000</v>
      </c>
      <c r="G158" s="2" t="str">
        <f t="shared" si="2"/>
        <v>Cao</v>
      </c>
      <c r="H158" s="2" t="s">
        <v>6</v>
      </c>
      <c r="I158" s="2" t="s">
        <v>10</v>
      </c>
      <c r="J158" s="3">
        <v>45333</v>
      </c>
    </row>
    <row r="159" spans="1:10" ht="14.25" customHeight="1" x14ac:dyDescent="0.3">
      <c r="A159" s="2" t="s">
        <v>27</v>
      </c>
      <c r="B159" s="2" t="s">
        <v>49</v>
      </c>
      <c r="C159" s="2" t="s">
        <v>45</v>
      </c>
      <c r="D159" s="2">
        <v>6</v>
      </c>
      <c r="E159" s="2">
        <v>550000</v>
      </c>
      <c r="F159" s="2">
        <f>Table1[[#This Row],[Quantity]]*Table1[[#This Row],[Unit_Price]]</f>
        <v>3300000</v>
      </c>
      <c r="G159" s="2" t="str">
        <f t="shared" si="2"/>
        <v>Cao</v>
      </c>
      <c r="H159" s="2" t="s">
        <v>6</v>
      </c>
      <c r="I159" s="2" t="s">
        <v>18</v>
      </c>
      <c r="J159" s="4">
        <v>45621</v>
      </c>
    </row>
    <row r="160" spans="1:10" ht="14.25" customHeight="1" x14ac:dyDescent="0.3">
      <c r="A160" s="2" t="s">
        <v>26</v>
      </c>
      <c r="B160" s="2" t="s">
        <v>48</v>
      </c>
      <c r="C160" s="2" t="s">
        <v>47</v>
      </c>
      <c r="D160" s="2">
        <v>5</v>
      </c>
      <c r="E160" s="2">
        <v>150000</v>
      </c>
      <c r="F160" s="2">
        <f>Table1[[#This Row],[Quantity]]*Table1[[#This Row],[Unit_Price]]</f>
        <v>750000</v>
      </c>
      <c r="G160" s="2" t="str">
        <f t="shared" si="2"/>
        <v>Trung bình</v>
      </c>
      <c r="H160" s="2" t="s">
        <v>8</v>
      </c>
      <c r="I160" s="2" t="s">
        <v>9</v>
      </c>
      <c r="J160" s="4">
        <v>45622</v>
      </c>
    </row>
    <row r="161" spans="1:10" ht="14.25" customHeight="1" x14ac:dyDescent="0.3">
      <c r="A161" s="2" t="s">
        <v>27</v>
      </c>
      <c r="B161" s="2" t="s">
        <v>49</v>
      </c>
      <c r="C161" s="2" t="s">
        <v>45</v>
      </c>
      <c r="D161" s="2">
        <v>7</v>
      </c>
      <c r="E161" s="2">
        <v>550000</v>
      </c>
      <c r="F161" s="2">
        <f>Table1[[#This Row],[Quantity]]*Table1[[#This Row],[Unit_Price]]</f>
        <v>3850000</v>
      </c>
      <c r="G161" s="2" t="str">
        <f t="shared" si="2"/>
        <v>Cao</v>
      </c>
      <c r="H161" s="2" t="s">
        <v>11</v>
      </c>
      <c r="I161" s="2" t="s">
        <v>13</v>
      </c>
      <c r="J161" s="4">
        <v>45626</v>
      </c>
    </row>
    <row r="162" spans="1:10" ht="14.25" customHeight="1" x14ac:dyDescent="0.3">
      <c r="A162" s="2" t="s">
        <v>43</v>
      </c>
      <c r="B162" s="2" t="s">
        <v>66</v>
      </c>
      <c r="C162" s="2" t="s">
        <v>53</v>
      </c>
      <c r="D162" s="2">
        <v>8</v>
      </c>
      <c r="E162" s="2">
        <v>250000</v>
      </c>
      <c r="F162" s="2">
        <f>Table1[[#This Row],[Quantity]]*Table1[[#This Row],[Unit_Price]]</f>
        <v>2000000</v>
      </c>
      <c r="G162" s="2" t="str">
        <f t="shared" si="2"/>
        <v>Cao</v>
      </c>
      <c r="H162" s="2" t="s">
        <v>8</v>
      </c>
      <c r="I162" s="2" t="s">
        <v>14</v>
      </c>
      <c r="J162" s="3">
        <v>45302</v>
      </c>
    </row>
    <row r="163" spans="1:10" ht="14.25" customHeight="1" x14ac:dyDescent="0.3">
      <c r="A163" s="2" t="s">
        <v>35</v>
      </c>
      <c r="B163" s="2" t="s">
        <v>58</v>
      </c>
      <c r="C163" s="2" t="s">
        <v>45</v>
      </c>
      <c r="D163" s="2">
        <v>2</v>
      </c>
      <c r="E163" s="2">
        <v>350000</v>
      </c>
      <c r="F163" s="2">
        <f>Table1[[#This Row],[Quantity]]*Table1[[#This Row],[Unit_Price]]</f>
        <v>700000</v>
      </c>
      <c r="G163" s="2" t="str">
        <f t="shared" si="2"/>
        <v>Trung bình</v>
      </c>
      <c r="H163" s="2" t="s">
        <v>8</v>
      </c>
      <c r="I163" s="2" t="s">
        <v>22</v>
      </c>
      <c r="J163" s="3">
        <v>45362</v>
      </c>
    </row>
    <row r="164" spans="1:10" ht="14.25" customHeight="1" x14ac:dyDescent="0.3">
      <c r="A164" s="2" t="s">
        <v>40</v>
      </c>
      <c r="B164" s="2" t="s">
        <v>63</v>
      </c>
      <c r="C164" s="2" t="s">
        <v>53</v>
      </c>
      <c r="D164" s="2">
        <v>7</v>
      </c>
      <c r="E164" s="2">
        <v>95000</v>
      </c>
      <c r="F164" s="2">
        <f>Table1[[#This Row],[Quantity]]*Table1[[#This Row],[Unit_Price]]</f>
        <v>665000</v>
      </c>
      <c r="G164" s="2" t="str">
        <f t="shared" si="2"/>
        <v>Trung bình</v>
      </c>
      <c r="H164" s="2" t="s">
        <v>11</v>
      </c>
      <c r="I164" s="2" t="s">
        <v>13</v>
      </c>
      <c r="J164" s="4">
        <v>45619</v>
      </c>
    </row>
    <row r="165" spans="1:10" ht="14.25" customHeight="1" x14ac:dyDescent="0.3">
      <c r="A165" s="2" t="s">
        <v>31</v>
      </c>
      <c r="B165" s="2" t="s">
        <v>54</v>
      </c>
      <c r="C165" s="2" t="s">
        <v>53</v>
      </c>
      <c r="D165" s="2">
        <v>10</v>
      </c>
      <c r="E165" s="2">
        <v>220000</v>
      </c>
      <c r="F165" s="2">
        <f>Table1[[#This Row],[Quantity]]*Table1[[#This Row],[Unit_Price]]</f>
        <v>2200000</v>
      </c>
      <c r="G165" s="2" t="str">
        <f t="shared" si="2"/>
        <v>Cao</v>
      </c>
      <c r="H165" s="2" t="s">
        <v>6</v>
      </c>
      <c r="I165" s="2" t="s">
        <v>7</v>
      </c>
      <c r="J165" s="4">
        <v>45612</v>
      </c>
    </row>
    <row r="166" spans="1:10" ht="14.25" customHeight="1" x14ac:dyDescent="0.3">
      <c r="A166" s="2" t="s">
        <v>36</v>
      </c>
      <c r="B166" s="2" t="s">
        <v>59</v>
      </c>
      <c r="C166" s="2" t="s">
        <v>45</v>
      </c>
      <c r="D166" s="2">
        <v>10</v>
      </c>
      <c r="E166" s="2">
        <v>150000</v>
      </c>
      <c r="F166" s="2">
        <f>Table1[[#This Row],[Quantity]]*Table1[[#This Row],[Unit_Price]]</f>
        <v>1500000</v>
      </c>
      <c r="G166" s="2" t="str">
        <f t="shared" si="2"/>
        <v>Cao</v>
      </c>
      <c r="H166" s="2" t="s">
        <v>6</v>
      </c>
      <c r="I166" s="2" t="s">
        <v>19</v>
      </c>
      <c r="J166" s="4">
        <v>45611</v>
      </c>
    </row>
    <row r="167" spans="1:10" ht="14.25" customHeight="1" x14ac:dyDescent="0.3">
      <c r="A167" s="2" t="s">
        <v>30</v>
      </c>
      <c r="B167" s="2" t="s">
        <v>52</v>
      </c>
      <c r="C167" s="2" t="s">
        <v>53</v>
      </c>
      <c r="D167" s="2">
        <v>5</v>
      </c>
      <c r="E167" s="2">
        <v>180000</v>
      </c>
      <c r="F167" s="2">
        <f>Table1[[#This Row],[Quantity]]*Table1[[#This Row],[Unit_Price]]</f>
        <v>900000</v>
      </c>
      <c r="G167" s="2" t="str">
        <f t="shared" si="2"/>
        <v>Trung bình</v>
      </c>
      <c r="H167" s="2" t="s">
        <v>8</v>
      </c>
      <c r="I167" s="2" t="s">
        <v>22</v>
      </c>
      <c r="J167" s="4">
        <v>45626</v>
      </c>
    </row>
    <row r="168" spans="1:10" ht="14.25" customHeight="1" x14ac:dyDescent="0.3">
      <c r="A168" s="2" t="s">
        <v>41</v>
      </c>
      <c r="B168" s="2" t="s">
        <v>64</v>
      </c>
      <c r="C168" s="2" t="s">
        <v>47</v>
      </c>
      <c r="D168" s="2">
        <v>8</v>
      </c>
      <c r="E168" s="2">
        <v>350000</v>
      </c>
      <c r="F168" s="2">
        <f>Table1[[#This Row],[Quantity]]*Table1[[#This Row],[Unit_Price]]</f>
        <v>2800000</v>
      </c>
      <c r="G168" s="2" t="str">
        <f t="shared" si="2"/>
        <v>Cao</v>
      </c>
      <c r="H168" s="2" t="s">
        <v>8</v>
      </c>
      <c r="I168" s="2" t="s">
        <v>14</v>
      </c>
      <c r="J168" s="4">
        <v>45624</v>
      </c>
    </row>
    <row r="169" spans="1:10" ht="14.25" customHeight="1" x14ac:dyDescent="0.3">
      <c r="A169" s="2" t="s">
        <v>27</v>
      </c>
      <c r="B169" s="2" t="s">
        <v>49</v>
      </c>
      <c r="C169" s="2" t="s">
        <v>45</v>
      </c>
      <c r="D169" s="2">
        <v>6</v>
      </c>
      <c r="E169" s="2">
        <v>550000</v>
      </c>
      <c r="F169" s="2">
        <f>Table1[[#This Row],[Quantity]]*Table1[[#This Row],[Unit_Price]]</f>
        <v>3300000</v>
      </c>
      <c r="G169" s="2" t="str">
        <f t="shared" si="2"/>
        <v>Cao</v>
      </c>
      <c r="H169" s="2" t="s">
        <v>11</v>
      </c>
      <c r="I169" s="2" t="s">
        <v>12</v>
      </c>
      <c r="J169" s="3">
        <v>45576</v>
      </c>
    </row>
    <row r="170" spans="1:10" ht="14.25" customHeight="1" x14ac:dyDescent="0.3">
      <c r="A170" s="2" t="s">
        <v>28</v>
      </c>
      <c r="B170" s="2" t="s">
        <v>50</v>
      </c>
      <c r="C170" s="2" t="s">
        <v>47</v>
      </c>
      <c r="D170" s="2">
        <v>9</v>
      </c>
      <c r="E170" s="2">
        <v>220000</v>
      </c>
      <c r="F170" s="2">
        <f>Table1[[#This Row],[Quantity]]*Table1[[#This Row],[Unit_Price]]</f>
        <v>1980000</v>
      </c>
      <c r="G170" s="2" t="str">
        <f t="shared" si="2"/>
        <v>Cao</v>
      </c>
      <c r="H170" s="2" t="s">
        <v>11</v>
      </c>
      <c r="I170" s="2" t="s">
        <v>15</v>
      </c>
      <c r="J170" s="4">
        <v>45619</v>
      </c>
    </row>
    <row r="171" spans="1:10" ht="14.25" customHeight="1" x14ac:dyDescent="0.3">
      <c r="A171" s="2" t="s">
        <v>27</v>
      </c>
      <c r="B171" s="2" t="s">
        <v>49</v>
      </c>
      <c r="C171" s="2" t="s">
        <v>45</v>
      </c>
      <c r="D171" s="2">
        <v>6</v>
      </c>
      <c r="E171" s="2">
        <v>550000</v>
      </c>
      <c r="F171" s="2">
        <f>Table1[[#This Row],[Quantity]]*Table1[[#This Row],[Unit_Price]]</f>
        <v>3300000</v>
      </c>
      <c r="G171" s="2" t="str">
        <f t="shared" si="2"/>
        <v>Cao</v>
      </c>
      <c r="H171" s="2" t="s">
        <v>6</v>
      </c>
      <c r="I171" s="2" t="s">
        <v>18</v>
      </c>
      <c r="J171" s="3">
        <v>45302</v>
      </c>
    </row>
    <row r="172" spans="1:10" ht="14.25" customHeight="1" x14ac:dyDescent="0.3">
      <c r="A172" s="2" t="s">
        <v>31</v>
      </c>
      <c r="B172" s="2" t="s">
        <v>54</v>
      </c>
      <c r="C172" s="2" t="s">
        <v>53</v>
      </c>
      <c r="D172" s="2">
        <v>3</v>
      </c>
      <c r="E172" s="2">
        <v>220000</v>
      </c>
      <c r="F172" s="2">
        <f>Table1[[#This Row],[Quantity]]*Table1[[#This Row],[Unit_Price]]</f>
        <v>660000</v>
      </c>
      <c r="G172" s="2" t="str">
        <f t="shared" si="2"/>
        <v>Trung bình</v>
      </c>
      <c r="H172" s="2" t="s">
        <v>6</v>
      </c>
      <c r="I172" s="2" t="s">
        <v>7</v>
      </c>
      <c r="J172" s="4">
        <v>45622</v>
      </c>
    </row>
    <row r="173" spans="1:10" ht="14.25" customHeight="1" x14ac:dyDescent="0.3">
      <c r="A173" s="2" t="s">
        <v>38</v>
      </c>
      <c r="B173" s="2" t="s">
        <v>61</v>
      </c>
      <c r="C173" s="2" t="s">
        <v>53</v>
      </c>
      <c r="D173" s="2">
        <v>8</v>
      </c>
      <c r="E173" s="2">
        <v>85000</v>
      </c>
      <c r="F173" s="2">
        <f>Table1[[#This Row],[Quantity]]*Table1[[#This Row],[Unit_Price]]</f>
        <v>680000</v>
      </c>
      <c r="G173" s="2" t="str">
        <f t="shared" si="2"/>
        <v>Trung bình</v>
      </c>
      <c r="H173" s="2" t="s">
        <v>6</v>
      </c>
      <c r="I173" s="2" t="s">
        <v>10</v>
      </c>
      <c r="J173" s="3">
        <v>45362</v>
      </c>
    </row>
    <row r="174" spans="1:10" ht="14.25" customHeight="1" x14ac:dyDescent="0.3">
      <c r="A174" s="2" t="s">
        <v>29</v>
      </c>
      <c r="B174" s="2" t="s">
        <v>51</v>
      </c>
      <c r="C174" s="2" t="s">
        <v>45</v>
      </c>
      <c r="D174" s="2">
        <v>8</v>
      </c>
      <c r="E174" s="2">
        <v>120000</v>
      </c>
      <c r="F174" s="2">
        <f>Table1[[#This Row],[Quantity]]*Table1[[#This Row],[Unit_Price]]</f>
        <v>960000</v>
      </c>
      <c r="G174" s="2" t="str">
        <f t="shared" si="2"/>
        <v>Trung bình</v>
      </c>
      <c r="H174" s="2" t="s">
        <v>11</v>
      </c>
      <c r="I174" s="2" t="s">
        <v>12</v>
      </c>
      <c r="J174" s="4">
        <v>45623</v>
      </c>
    </row>
    <row r="175" spans="1:10" ht="14.25" customHeight="1" x14ac:dyDescent="0.3">
      <c r="A175" s="2" t="s">
        <v>26</v>
      </c>
      <c r="B175" s="2" t="s">
        <v>48</v>
      </c>
      <c r="C175" s="2" t="s">
        <v>47</v>
      </c>
      <c r="D175" s="2">
        <v>4</v>
      </c>
      <c r="E175" s="2">
        <v>150000</v>
      </c>
      <c r="F175" s="2">
        <f>Table1[[#This Row],[Quantity]]*Table1[[#This Row],[Unit_Price]]</f>
        <v>600000</v>
      </c>
      <c r="G175" s="2" t="str">
        <f t="shared" si="2"/>
        <v>Trung bình</v>
      </c>
      <c r="H175" s="2" t="s">
        <v>11</v>
      </c>
      <c r="I175" s="2" t="s">
        <v>13</v>
      </c>
      <c r="J175" s="3">
        <v>45637</v>
      </c>
    </row>
    <row r="176" spans="1:10" ht="14.25" customHeight="1" x14ac:dyDescent="0.3">
      <c r="A176" s="2" t="s">
        <v>36</v>
      </c>
      <c r="B176" s="2" t="s">
        <v>59</v>
      </c>
      <c r="C176" s="2" t="s">
        <v>45</v>
      </c>
      <c r="D176" s="2">
        <v>2</v>
      </c>
      <c r="E176" s="2">
        <v>150000</v>
      </c>
      <c r="F176" s="2">
        <f>Table1[[#This Row],[Quantity]]*Table1[[#This Row],[Unit_Price]]</f>
        <v>300000</v>
      </c>
      <c r="G176" s="2" t="str">
        <f t="shared" si="2"/>
        <v>Thấp</v>
      </c>
      <c r="H176" s="2" t="s">
        <v>6</v>
      </c>
      <c r="I176" s="2" t="s">
        <v>18</v>
      </c>
      <c r="J176" s="4">
        <v>45612</v>
      </c>
    </row>
    <row r="177" spans="1:10" ht="14.25" customHeight="1" x14ac:dyDescent="0.3">
      <c r="A177" s="2" t="s">
        <v>41</v>
      </c>
      <c r="B177" s="2" t="s">
        <v>64</v>
      </c>
      <c r="C177" s="2" t="s">
        <v>47</v>
      </c>
      <c r="D177" s="2">
        <v>5</v>
      </c>
      <c r="E177" s="2">
        <v>350000</v>
      </c>
      <c r="F177" s="2">
        <f>Table1[[#This Row],[Quantity]]*Table1[[#This Row],[Unit_Price]]</f>
        <v>1750000</v>
      </c>
      <c r="G177" s="2" t="str">
        <f t="shared" si="2"/>
        <v>Cao</v>
      </c>
      <c r="H177" s="2" t="s">
        <v>8</v>
      </c>
      <c r="I177" s="2" t="s">
        <v>23</v>
      </c>
      <c r="J177" s="3">
        <v>45607</v>
      </c>
    </row>
    <row r="178" spans="1:10" ht="14.25" customHeight="1" x14ac:dyDescent="0.3">
      <c r="A178" s="2" t="s">
        <v>42</v>
      </c>
      <c r="B178" s="2" t="s">
        <v>65</v>
      </c>
      <c r="C178" s="2" t="s">
        <v>53</v>
      </c>
      <c r="D178" s="2">
        <v>5</v>
      </c>
      <c r="E178" s="2">
        <v>75000</v>
      </c>
      <c r="F178" s="2">
        <f>Table1[[#This Row],[Quantity]]*Table1[[#This Row],[Unit_Price]]</f>
        <v>375000</v>
      </c>
      <c r="G178" s="2" t="str">
        <f t="shared" si="2"/>
        <v>Thấp</v>
      </c>
      <c r="H178" s="2" t="s">
        <v>8</v>
      </c>
      <c r="I178" s="2" t="s">
        <v>14</v>
      </c>
      <c r="J178" s="3">
        <v>45576</v>
      </c>
    </row>
    <row r="179" spans="1:10" ht="14.25" customHeight="1" x14ac:dyDescent="0.3">
      <c r="A179" s="2" t="s">
        <v>32</v>
      </c>
      <c r="B179" s="2" t="s">
        <v>55</v>
      </c>
      <c r="C179" s="2" t="s">
        <v>45</v>
      </c>
      <c r="D179" s="2">
        <v>4</v>
      </c>
      <c r="E179" s="2">
        <v>320000</v>
      </c>
      <c r="F179" s="2">
        <f>Table1[[#This Row],[Quantity]]*Table1[[#This Row],[Unit_Price]]</f>
        <v>1280000</v>
      </c>
      <c r="G179" s="2" t="str">
        <f t="shared" si="2"/>
        <v>Cao</v>
      </c>
      <c r="H179" s="2" t="s">
        <v>11</v>
      </c>
      <c r="I179" s="2" t="s">
        <v>20</v>
      </c>
      <c r="J179" s="4">
        <v>45612</v>
      </c>
    </row>
    <row r="180" spans="1:10" ht="14.25" customHeight="1" x14ac:dyDescent="0.3">
      <c r="A180" s="2" t="s">
        <v>40</v>
      </c>
      <c r="B180" s="2" t="s">
        <v>63</v>
      </c>
      <c r="C180" s="2" t="s">
        <v>53</v>
      </c>
      <c r="D180" s="2">
        <v>3</v>
      </c>
      <c r="E180" s="2">
        <v>95000</v>
      </c>
      <c r="F180" s="2">
        <f>Table1[[#This Row],[Quantity]]*Table1[[#This Row],[Unit_Price]]</f>
        <v>285000</v>
      </c>
      <c r="G180" s="2" t="str">
        <f t="shared" si="2"/>
        <v>Thấp</v>
      </c>
      <c r="H180" s="2" t="s">
        <v>11</v>
      </c>
      <c r="I180" s="2" t="s">
        <v>13</v>
      </c>
      <c r="J180" s="4">
        <v>45624</v>
      </c>
    </row>
    <row r="181" spans="1:10" ht="14.25" customHeight="1" x14ac:dyDescent="0.3">
      <c r="A181" s="2" t="s">
        <v>31</v>
      </c>
      <c r="B181" s="2" t="s">
        <v>54</v>
      </c>
      <c r="C181" s="2" t="s">
        <v>53</v>
      </c>
      <c r="D181" s="2">
        <v>5</v>
      </c>
      <c r="E181" s="2">
        <v>220000</v>
      </c>
      <c r="F181" s="2">
        <f>Table1[[#This Row],[Quantity]]*Table1[[#This Row],[Unit_Price]]</f>
        <v>1100000</v>
      </c>
      <c r="G181" s="2" t="str">
        <f t="shared" si="2"/>
        <v>Cao</v>
      </c>
      <c r="H181" s="2" t="s">
        <v>6</v>
      </c>
      <c r="I181" s="2" t="s">
        <v>7</v>
      </c>
      <c r="J181" s="4">
        <v>45616</v>
      </c>
    </row>
    <row r="182" spans="1:10" ht="14.25" customHeight="1" x14ac:dyDescent="0.3">
      <c r="A182" s="2" t="s">
        <v>42</v>
      </c>
      <c r="B182" s="2" t="s">
        <v>65</v>
      </c>
      <c r="C182" s="2" t="s">
        <v>53</v>
      </c>
      <c r="D182" s="2">
        <v>8</v>
      </c>
      <c r="E182" s="2">
        <v>75000</v>
      </c>
      <c r="F182" s="2">
        <f>Table1[[#This Row],[Quantity]]*Table1[[#This Row],[Unit_Price]]</f>
        <v>600000</v>
      </c>
      <c r="G182" s="2" t="str">
        <f t="shared" si="2"/>
        <v>Trung bình</v>
      </c>
      <c r="H182" s="2" t="s">
        <v>8</v>
      </c>
      <c r="I182" s="2" t="s">
        <v>23</v>
      </c>
      <c r="J182" s="4">
        <v>45614</v>
      </c>
    </row>
    <row r="183" spans="1:10" ht="14.25" customHeight="1" x14ac:dyDescent="0.3">
      <c r="A183" s="2" t="s">
        <v>27</v>
      </c>
      <c r="B183" s="2" t="s">
        <v>49</v>
      </c>
      <c r="C183" s="2" t="s">
        <v>45</v>
      </c>
      <c r="D183" s="2">
        <v>7</v>
      </c>
      <c r="E183" s="2">
        <v>550000</v>
      </c>
      <c r="F183" s="2">
        <f>Table1[[#This Row],[Quantity]]*Table1[[#This Row],[Unit_Price]]</f>
        <v>3850000</v>
      </c>
      <c r="G183" s="2" t="str">
        <f t="shared" si="2"/>
        <v>Cao</v>
      </c>
      <c r="H183" s="2" t="s">
        <v>8</v>
      </c>
      <c r="I183" s="2" t="s">
        <v>23</v>
      </c>
      <c r="J183" s="3">
        <v>45576</v>
      </c>
    </row>
    <row r="184" spans="1:10" ht="14.25" customHeight="1" x14ac:dyDescent="0.3">
      <c r="A184" s="2" t="s">
        <v>42</v>
      </c>
      <c r="B184" s="2" t="s">
        <v>65</v>
      </c>
      <c r="C184" s="2" t="s">
        <v>53</v>
      </c>
      <c r="D184" s="2">
        <v>3</v>
      </c>
      <c r="E184" s="2">
        <v>75000</v>
      </c>
      <c r="F184" s="2">
        <f>Table1[[#This Row],[Quantity]]*Table1[[#This Row],[Unit_Price]]</f>
        <v>225000</v>
      </c>
      <c r="G184" s="2" t="str">
        <f t="shared" si="2"/>
        <v>Thấp</v>
      </c>
      <c r="H184" s="2" t="s">
        <v>11</v>
      </c>
      <c r="I184" s="2" t="s">
        <v>15</v>
      </c>
      <c r="J184" s="4">
        <v>45616</v>
      </c>
    </row>
    <row r="185" spans="1:10" ht="14.25" customHeight="1" x14ac:dyDescent="0.3">
      <c r="A185" s="2" t="s">
        <v>42</v>
      </c>
      <c r="B185" s="2" t="s">
        <v>65</v>
      </c>
      <c r="C185" s="2" t="s">
        <v>53</v>
      </c>
      <c r="D185" s="2">
        <v>7</v>
      </c>
      <c r="E185" s="2">
        <v>75000</v>
      </c>
      <c r="F185" s="2">
        <f>Table1[[#This Row],[Quantity]]*Table1[[#This Row],[Unit_Price]]</f>
        <v>525000</v>
      </c>
      <c r="G185" s="2" t="str">
        <f t="shared" si="2"/>
        <v>Trung bình</v>
      </c>
      <c r="H185" s="2" t="s">
        <v>6</v>
      </c>
      <c r="I185" s="2" t="s">
        <v>10</v>
      </c>
      <c r="J185" s="4">
        <v>45617</v>
      </c>
    </row>
    <row r="186" spans="1:10" ht="14.25" customHeight="1" x14ac:dyDescent="0.3">
      <c r="A186" s="2" t="s">
        <v>25</v>
      </c>
      <c r="B186" s="2" t="s">
        <v>46</v>
      </c>
      <c r="C186" s="2" t="s">
        <v>47</v>
      </c>
      <c r="D186" s="2">
        <v>4</v>
      </c>
      <c r="E186" s="2">
        <v>280000</v>
      </c>
      <c r="F186" s="2">
        <f>Table1[[#This Row],[Quantity]]*Table1[[#This Row],[Unit_Price]]</f>
        <v>1120000</v>
      </c>
      <c r="G186" s="2" t="str">
        <f t="shared" si="2"/>
        <v>Cao</v>
      </c>
      <c r="H186" s="2" t="s">
        <v>8</v>
      </c>
      <c r="I186" s="2" t="s">
        <v>23</v>
      </c>
      <c r="J186" s="4">
        <v>45610</v>
      </c>
    </row>
    <row r="187" spans="1:10" ht="14.25" customHeight="1" x14ac:dyDescent="0.3">
      <c r="A187" s="2" t="s">
        <v>25</v>
      </c>
      <c r="B187" s="2" t="s">
        <v>46</v>
      </c>
      <c r="C187" s="2" t="s">
        <v>47</v>
      </c>
      <c r="D187" s="2">
        <v>1</v>
      </c>
      <c r="E187" s="2">
        <v>280000</v>
      </c>
      <c r="F187" s="2">
        <f>Table1[[#This Row],[Quantity]]*Table1[[#This Row],[Unit_Price]]</f>
        <v>280000</v>
      </c>
      <c r="G187" s="2" t="str">
        <f t="shared" si="2"/>
        <v>Thấp</v>
      </c>
      <c r="H187" s="2" t="s">
        <v>11</v>
      </c>
      <c r="I187" s="2" t="s">
        <v>12</v>
      </c>
      <c r="J187" s="4">
        <v>45610</v>
      </c>
    </row>
    <row r="188" spans="1:10" ht="14.25" customHeight="1" x14ac:dyDescent="0.3">
      <c r="A188" s="2" t="s">
        <v>24</v>
      </c>
      <c r="B188" s="2" t="s">
        <v>44</v>
      </c>
      <c r="C188" s="2" t="s">
        <v>45</v>
      </c>
      <c r="D188" s="2">
        <v>2</v>
      </c>
      <c r="E188" s="2">
        <v>280000</v>
      </c>
      <c r="F188" s="2">
        <f>Table1[[#This Row],[Quantity]]*Table1[[#This Row],[Unit_Price]]</f>
        <v>560000</v>
      </c>
      <c r="G188" s="2" t="str">
        <f t="shared" si="2"/>
        <v>Trung bình</v>
      </c>
      <c r="H188" s="2" t="s">
        <v>11</v>
      </c>
      <c r="I188" s="2" t="s">
        <v>13</v>
      </c>
      <c r="J188" s="4">
        <v>45611</v>
      </c>
    </row>
    <row r="189" spans="1:10" ht="14.25" customHeight="1" x14ac:dyDescent="0.3">
      <c r="A189" s="2" t="s">
        <v>32</v>
      </c>
      <c r="B189" s="2" t="s">
        <v>55</v>
      </c>
      <c r="C189" s="2" t="s">
        <v>45</v>
      </c>
      <c r="D189" s="2">
        <v>10</v>
      </c>
      <c r="E189" s="2">
        <v>320000</v>
      </c>
      <c r="F189" s="2">
        <f>Table1[[#This Row],[Quantity]]*Table1[[#This Row],[Unit_Price]]</f>
        <v>3200000</v>
      </c>
      <c r="G189" s="2" t="str">
        <f t="shared" si="2"/>
        <v>Cao</v>
      </c>
      <c r="H189" s="2" t="s">
        <v>8</v>
      </c>
      <c r="I189" s="2" t="s">
        <v>23</v>
      </c>
      <c r="J189" s="4">
        <v>45611</v>
      </c>
    </row>
    <row r="190" spans="1:10" ht="14.25" customHeight="1" x14ac:dyDescent="0.3">
      <c r="A190" s="2" t="s">
        <v>29</v>
      </c>
      <c r="B190" s="2" t="s">
        <v>51</v>
      </c>
      <c r="C190" s="2" t="s">
        <v>45</v>
      </c>
      <c r="D190" s="2">
        <v>7</v>
      </c>
      <c r="E190" s="2">
        <v>120000</v>
      </c>
      <c r="F190" s="2">
        <f>Table1[[#This Row],[Quantity]]*Table1[[#This Row],[Unit_Price]]</f>
        <v>840000</v>
      </c>
      <c r="G190" s="2" t="str">
        <f t="shared" si="2"/>
        <v>Trung bình</v>
      </c>
      <c r="H190" s="2" t="s">
        <v>8</v>
      </c>
      <c r="I190" s="2" t="s">
        <v>9</v>
      </c>
      <c r="J190" s="3">
        <v>45607</v>
      </c>
    </row>
    <row r="191" spans="1:10" ht="14.25" customHeight="1" x14ac:dyDescent="0.3">
      <c r="A191" s="2" t="s">
        <v>37</v>
      </c>
      <c r="B191" s="2" t="s">
        <v>60</v>
      </c>
      <c r="C191" s="2" t="s">
        <v>53</v>
      </c>
      <c r="D191" s="2">
        <v>5</v>
      </c>
      <c r="E191" s="2">
        <v>180000</v>
      </c>
      <c r="F191" s="2">
        <f>Table1[[#This Row],[Quantity]]*Table1[[#This Row],[Unit_Price]]</f>
        <v>900000</v>
      </c>
      <c r="G191" s="2" t="str">
        <f t="shared" si="2"/>
        <v>Trung bình</v>
      </c>
      <c r="H191" s="2" t="s">
        <v>8</v>
      </c>
      <c r="I191" s="2" t="s">
        <v>9</v>
      </c>
      <c r="J191" s="4">
        <v>45611</v>
      </c>
    </row>
    <row r="192" spans="1:10" ht="14.25" customHeight="1" x14ac:dyDescent="0.3">
      <c r="A192" s="2" t="s">
        <v>33</v>
      </c>
      <c r="B192" s="2" t="s">
        <v>56</v>
      </c>
      <c r="C192" s="2" t="s">
        <v>45</v>
      </c>
      <c r="D192" s="2">
        <v>7</v>
      </c>
      <c r="E192" s="2">
        <v>200000</v>
      </c>
      <c r="F192" s="2">
        <f>Table1[[#This Row],[Quantity]]*Table1[[#This Row],[Unit_Price]]</f>
        <v>1400000</v>
      </c>
      <c r="G192" s="2" t="str">
        <f t="shared" si="2"/>
        <v>Cao</v>
      </c>
      <c r="H192" s="2" t="s">
        <v>8</v>
      </c>
      <c r="I192" s="2" t="s">
        <v>9</v>
      </c>
      <c r="J192" s="3">
        <v>45393</v>
      </c>
    </row>
    <row r="193" spans="1:10" ht="14.25" customHeight="1" x14ac:dyDescent="0.3">
      <c r="A193" s="2" t="s">
        <v>27</v>
      </c>
      <c r="B193" s="2" t="s">
        <v>49</v>
      </c>
      <c r="C193" s="2" t="s">
        <v>45</v>
      </c>
      <c r="D193" s="2">
        <v>6</v>
      </c>
      <c r="E193" s="2">
        <v>550000</v>
      </c>
      <c r="F193" s="2">
        <f>Table1[[#This Row],[Quantity]]*Table1[[#This Row],[Unit_Price]]</f>
        <v>3300000</v>
      </c>
      <c r="G193" s="2" t="str">
        <f t="shared" si="2"/>
        <v>Cao</v>
      </c>
      <c r="H193" s="2" t="s">
        <v>8</v>
      </c>
      <c r="I193" s="2" t="s">
        <v>14</v>
      </c>
      <c r="J193" s="4">
        <v>45623</v>
      </c>
    </row>
    <row r="194" spans="1:10" ht="14.25" customHeight="1" x14ac:dyDescent="0.3">
      <c r="A194" s="2" t="s">
        <v>37</v>
      </c>
      <c r="B194" s="2" t="s">
        <v>60</v>
      </c>
      <c r="C194" s="2" t="s">
        <v>53</v>
      </c>
      <c r="D194" s="2">
        <v>6</v>
      </c>
      <c r="E194" s="2">
        <v>180000</v>
      </c>
      <c r="F194" s="2">
        <f>Table1[[#This Row],[Quantity]]*Table1[[#This Row],[Unit_Price]]</f>
        <v>1080000</v>
      </c>
      <c r="G194" s="2" t="str">
        <f t="shared" ref="G194:G251" si="3">_xlfn.IFS(F194&gt;=1000000,"Cao",F194&gt;=500000,"Trung bình",F194&lt;500000,"Thấp")</f>
        <v>Cao</v>
      </c>
      <c r="H194" s="2" t="s">
        <v>11</v>
      </c>
      <c r="I194" s="2" t="s">
        <v>12</v>
      </c>
      <c r="J194" s="4">
        <v>45612</v>
      </c>
    </row>
    <row r="195" spans="1:10" ht="14.25" customHeight="1" x14ac:dyDescent="0.3">
      <c r="A195" s="2" t="s">
        <v>43</v>
      </c>
      <c r="B195" s="2" t="s">
        <v>66</v>
      </c>
      <c r="C195" s="2" t="s">
        <v>53</v>
      </c>
      <c r="D195" s="2">
        <v>8</v>
      </c>
      <c r="E195" s="2">
        <v>250000</v>
      </c>
      <c r="F195" s="2">
        <f>Table1[[#This Row],[Quantity]]*Table1[[#This Row],[Unit_Price]]</f>
        <v>2000000</v>
      </c>
      <c r="G195" s="2" t="str">
        <f t="shared" si="3"/>
        <v>Cao</v>
      </c>
      <c r="H195" s="2" t="s">
        <v>11</v>
      </c>
      <c r="I195" s="2" t="s">
        <v>20</v>
      </c>
      <c r="J195" s="3">
        <v>45484</v>
      </c>
    </row>
    <row r="196" spans="1:10" ht="14.25" customHeight="1" x14ac:dyDescent="0.3">
      <c r="A196" s="2" t="s">
        <v>39</v>
      </c>
      <c r="B196" s="2" t="s">
        <v>62</v>
      </c>
      <c r="C196" s="2" t="s">
        <v>47</v>
      </c>
      <c r="D196" s="2">
        <v>7</v>
      </c>
      <c r="E196" s="2">
        <v>130000</v>
      </c>
      <c r="F196" s="2">
        <f>Table1[[#This Row],[Quantity]]*Table1[[#This Row],[Unit_Price]]</f>
        <v>910000</v>
      </c>
      <c r="G196" s="2" t="str">
        <f t="shared" si="3"/>
        <v>Trung bình</v>
      </c>
      <c r="H196" s="2" t="s">
        <v>8</v>
      </c>
      <c r="I196" s="2" t="s">
        <v>22</v>
      </c>
      <c r="J196" s="4">
        <v>45612</v>
      </c>
    </row>
    <row r="197" spans="1:10" ht="14.25" customHeight="1" x14ac:dyDescent="0.3">
      <c r="A197" s="2" t="s">
        <v>33</v>
      </c>
      <c r="B197" s="2" t="s">
        <v>56</v>
      </c>
      <c r="C197" s="2" t="s">
        <v>45</v>
      </c>
      <c r="D197" s="2">
        <v>7</v>
      </c>
      <c r="E197" s="2">
        <v>200000</v>
      </c>
      <c r="F197" s="2">
        <f>Table1[[#This Row],[Quantity]]*Table1[[#This Row],[Unit_Price]]</f>
        <v>1400000</v>
      </c>
      <c r="G197" s="2" t="str">
        <f t="shared" si="3"/>
        <v>Cao</v>
      </c>
      <c r="H197" s="2" t="s">
        <v>8</v>
      </c>
      <c r="I197" s="2" t="s">
        <v>23</v>
      </c>
      <c r="J197" s="3">
        <v>45423</v>
      </c>
    </row>
    <row r="198" spans="1:10" ht="14.25" customHeight="1" x14ac:dyDescent="0.3">
      <c r="A198" s="2" t="s">
        <v>37</v>
      </c>
      <c r="B198" s="2" t="s">
        <v>60</v>
      </c>
      <c r="C198" s="2" t="s">
        <v>53</v>
      </c>
      <c r="D198" s="2">
        <v>4</v>
      </c>
      <c r="E198" s="2">
        <v>180000</v>
      </c>
      <c r="F198" s="2">
        <f>Table1[[#This Row],[Quantity]]*Table1[[#This Row],[Unit_Price]]</f>
        <v>720000</v>
      </c>
      <c r="G198" s="2" t="str">
        <f t="shared" si="3"/>
        <v>Trung bình</v>
      </c>
      <c r="H198" s="2" t="s">
        <v>6</v>
      </c>
      <c r="I198" s="2" t="s">
        <v>18</v>
      </c>
      <c r="J198" s="3">
        <v>45423</v>
      </c>
    </row>
    <row r="199" spans="1:10" ht="14.25" customHeight="1" x14ac:dyDescent="0.3">
      <c r="A199" s="2" t="s">
        <v>34</v>
      </c>
      <c r="B199" s="2" t="s">
        <v>57</v>
      </c>
      <c r="C199" s="2" t="s">
        <v>47</v>
      </c>
      <c r="D199" s="2">
        <v>8</v>
      </c>
      <c r="E199" s="2">
        <v>195000</v>
      </c>
      <c r="F199" s="2">
        <f>Table1[[#This Row],[Quantity]]*Table1[[#This Row],[Unit_Price]]</f>
        <v>1560000</v>
      </c>
      <c r="G199" s="2" t="str">
        <f t="shared" si="3"/>
        <v>Cao</v>
      </c>
      <c r="H199" s="2" t="s">
        <v>6</v>
      </c>
      <c r="I199" s="2" t="s">
        <v>7</v>
      </c>
      <c r="J199" s="4">
        <v>45613</v>
      </c>
    </row>
    <row r="200" spans="1:10" ht="14.25" customHeight="1" x14ac:dyDescent="0.3">
      <c r="A200" s="2" t="s">
        <v>27</v>
      </c>
      <c r="B200" s="2" t="s">
        <v>49</v>
      </c>
      <c r="C200" s="2" t="s">
        <v>45</v>
      </c>
      <c r="D200" s="2">
        <v>2</v>
      </c>
      <c r="E200" s="2">
        <v>550000</v>
      </c>
      <c r="F200" s="2">
        <f>Table1[[#This Row],[Quantity]]*Table1[[#This Row],[Unit_Price]]</f>
        <v>1100000</v>
      </c>
      <c r="G200" s="2" t="str">
        <f t="shared" si="3"/>
        <v>Cao</v>
      </c>
      <c r="H200" s="2" t="s">
        <v>8</v>
      </c>
      <c r="I200" s="2" t="s">
        <v>23</v>
      </c>
      <c r="J200" s="4">
        <v>45610</v>
      </c>
    </row>
    <row r="201" spans="1:10" ht="14.25" customHeight="1" x14ac:dyDescent="0.3">
      <c r="A201" s="2" t="s">
        <v>33</v>
      </c>
      <c r="B201" s="2" t="s">
        <v>56</v>
      </c>
      <c r="C201" s="2" t="s">
        <v>45</v>
      </c>
      <c r="D201" s="2">
        <v>8</v>
      </c>
      <c r="E201" s="2">
        <v>200000</v>
      </c>
      <c r="F201" s="2">
        <f>Table1[[#This Row],[Quantity]]*Table1[[#This Row],[Unit_Price]]</f>
        <v>1600000</v>
      </c>
      <c r="G201" s="2" t="str">
        <f t="shared" si="3"/>
        <v>Cao</v>
      </c>
      <c r="H201" s="2" t="s">
        <v>8</v>
      </c>
      <c r="I201" s="2" t="s">
        <v>14</v>
      </c>
      <c r="J201" s="4">
        <v>45618</v>
      </c>
    </row>
    <row r="202" spans="1:10" ht="14.25" customHeight="1" x14ac:dyDescent="0.3">
      <c r="A202" s="2" t="s">
        <v>42</v>
      </c>
      <c r="B202" s="2" t="s">
        <v>65</v>
      </c>
      <c r="C202" s="2" t="s">
        <v>53</v>
      </c>
      <c r="D202" s="2">
        <v>3</v>
      </c>
      <c r="E202" s="2">
        <v>75000</v>
      </c>
      <c r="F202" s="2">
        <f>Table1[[#This Row],[Quantity]]*Table1[[#This Row],[Unit_Price]]</f>
        <v>225000</v>
      </c>
      <c r="G202" s="2" t="str">
        <f t="shared" si="3"/>
        <v>Thấp</v>
      </c>
      <c r="H202" s="2" t="s">
        <v>8</v>
      </c>
      <c r="I202" s="2" t="s">
        <v>22</v>
      </c>
      <c r="J202" s="4">
        <v>45615</v>
      </c>
    </row>
    <row r="203" spans="1:10" ht="14.25" customHeight="1" x14ac:dyDescent="0.3">
      <c r="A203" s="2" t="s">
        <v>32</v>
      </c>
      <c r="B203" s="2" t="s">
        <v>55</v>
      </c>
      <c r="C203" s="2" t="s">
        <v>45</v>
      </c>
      <c r="D203" s="2">
        <v>6</v>
      </c>
      <c r="E203" s="2">
        <v>320000</v>
      </c>
      <c r="F203" s="2">
        <f>Table1[[#This Row],[Quantity]]*Table1[[#This Row],[Unit_Price]]</f>
        <v>1920000</v>
      </c>
      <c r="G203" s="2" t="str">
        <f t="shared" si="3"/>
        <v>Cao</v>
      </c>
      <c r="H203" s="2" t="s">
        <v>11</v>
      </c>
      <c r="I203" s="2" t="s">
        <v>16</v>
      </c>
      <c r="J203" s="4">
        <v>45623</v>
      </c>
    </row>
    <row r="204" spans="1:10" ht="14.25" customHeight="1" x14ac:dyDescent="0.3">
      <c r="A204" s="2" t="s">
        <v>31</v>
      </c>
      <c r="B204" s="2" t="s">
        <v>54</v>
      </c>
      <c r="C204" s="2" t="s">
        <v>53</v>
      </c>
      <c r="D204" s="2">
        <v>3</v>
      </c>
      <c r="E204" s="2">
        <v>220000</v>
      </c>
      <c r="F204" s="2">
        <f>Table1[[#This Row],[Quantity]]*Table1[[#This Row],[Unit_Price]]</f>
        <v>660000</v>
      </c>
      <c r="G204" s="2" t="str">
        <f t="shared" si="3"/>
        <v>Trung bình</v>
      </c>
      <c r="H204" s="2" t="s">
        <v>8</v>
      </c>
      <c r="I204" s="2" t="s">
        <v>23</v>
      </c>
      <c r="J204" s="3">
        <v>45576</v>
      </c>
    </row>
    <row r="205" spans="1:10" ht="14.25" customHeight="1" x14ac:dyDescent="0.3">
      <c r="A205" s="2" t="s">
        <v>28</v>
      </c>
      <c r="B205" s="2" t="s">
        <v>50</v>
      </c>
      <c r="C205" s="2" t="s">
        <v>47</v>
      </c>
      <c r="D205" s="2">
        <v>3</v>
      </c>
      <c r="E205" s="2">
        <v>220000</v>
      </c>
      <c r="F205" s="2">
        <f>Table1[[#This Row],[Quantity]]*Table1[[#This Row],[Unit_Price]]</f>
        <v>660000</v>
      </c>
      <c r="G205" s="2" t="str">
        <f t="shared" si="3"/>
        <v>Trung bình</v>
      </c>
      <c r="H205" s="2" t="s">
        <v>6</v>
      </c>
      <c r="I205" s="2" t="s">
        <v>18</v>
      </c>
      <c r="J205" s="3">
        <v>45637</v>
      </c>
    </row>
    <row r="206" spans="1:10" ht="14.25" customHeight="1" x14ac:dyDescent="0.3">
      <c r="A206" s="2" t="s">
        <v>28</v>
      </c>
      <c r="B206" s="2" t="s">
        <v>50</v>
      </c>
      <c r="C206" s="2" t="s">
        <v>47</v>
      </c>
      <c r="D206" s="2">
        <v>3</v>
      </c>
      <c r="E206" s="2">
        <v>220000</v>
      </c>
      <c r="F206" s="2">
        <f>Table1[[#This Row],[Quantity]]*Table1[[#This Row],[Unit_Price]]</f>
        <v>660000</v>
      </c>
      <c r="G206" s="2" t="str">
        <f t="shared" si="3"/>
        <v>Trung bình</v>
      </c>
      <c r="H206" s="2" t="s">
        <v>6</v>
      </c>
      <c r="I206" s="2" t="s">
        <v>18</v>
      </c>
      <c r="J206" s="3">
        <v>45607</v>
      </c>
    </row>
    <row r="207" spans="1:10" ht="14.25" customHeight="1" x14ac:dyDescent="0.3">
      <c r="A207" s="2" t="s">
        <v>42</v>
      </c>
      <c r="B207" s="2" t="s">
        <v>65</v>
      </c>
      <c r="C207" s="2" t="s">
        <v>53</v>
      </c>
      <c r="D207" s="2">
        <v>9</v>
      </c>
      <c r="E207" s="2">
        <v>75000</v>
      </c>
      <c r="F207" s="2">
        <f>Table1[[#This Row],[Quantity]]*Table1[[#This Row],[Unit_Price]]</f>
        <v>675000</v>
      </c>
      <c r="G207" s="2" t="str">
        <f t="shared" si="3"/>
        <v>Trung bình</v>
      </c>
      <c r="H207" s="2" t="s">
        <v>8</v>
      </c>
      <c r="I207" s="2" t="s">
        <v>22</v>
      </c>
      <c r="J207" s="4">
        <v>45618</v>
      </c>
    </row>
    <row r="208" spans="1:10" ht="14.25" customHeight="1" x14ac:dyDescent="0.3">
      <c r="A208" s="2" t="s">
        <v>30</v>
      </c>
      <c r="B208" s="2" t="s">
        <v>52</v>
      </c>
      <c r="C208" s="2" t="s">
        <v>53</v>
      </c>
      <c r="D208" s="2">
        <v>5</v>
      </c>
      <c r="E208" s="2">
        <v>180000</v>
      </c>
      <c r="F208" s="2">
        <f>Table1[[#This Row],[Quantity]]*Table1[[#This Row],[Unit_Price]]</f>
        <v>900000</v>
      </c>
      <c r="G208" s="2" t="str">
        <f t="shared" si="3"/>
        <v>Trung bình</v>
      </c>
      <c r="H208" s="2" t="s">
        <v>11</v>
      </c>
      <c r="I208" s="2" t="s">
        <v>13</v>
      </c>
      <c r="J208" s="3">
        <v>45484</v>
      </c>
    </row>
    <row r="209" spans="1:10" ht="14.25" customHeight="1" x14ac:dyDescent="0.3">
      <c r="A209" s="2" t="s">
        <v>29</v>
      </c>
      <c r="B209" s="2" t="s">
        <v>51</v>
      </c>
      <c r="C209" s="2" t="s">
        <v>45</v>
      </c>
      <c r="D209" s="2">
        <v>7</v>
      </c>
      <c r="E209" s="2">
        <v>120000</v>
      </c>
      <c r="F209" s="2">
        <f>Table1[[#This Row],[Quantity]]*Table1[[#This Row],[Unit_Price]]</f>
        <v>840000</v>
      </c>
      <c r="G209" s="2" t="str">
        <f t="shared" si="3"/>
        <v>Trung bình</v>
      </c>
      <c r="H209" s="2" t="s">
        <v>8</v>
      </c>
      <c r="I209" s="2" t="s">
        <v>14</v>
      </c>
      <c r="J209" s="4">
        <v>45619</v>
      </c>
    </row>
    <row r="210" spans="1:10" ht="14.25" customHeight="1" x14ac:dyDescent="0.3">
      <c r="A210" s="2" t="s">
        <v>43</v>
      </c>
      <c r="B210" s="2" t="s">
        <v>66</v>
      </c>
      <c r="C210" s="2" t="s">
        <v>53</v>
      </c>
      <c r="D210" s="2">
        <v>5</v>
      </c>
      <c r="E210" s="2">
        <v>250000</v>
      </c>
      <c r="F210" s="2">
        <f>Table1[[#This Row],[Quantity]]*Table1[[#This Row],[Unit_Price]]</f>
        <v>1250000</v>
      </c>
      <c r="G210" s="2" t="str">
        <f t="shared" si="3"/>
        <v>Cao</v>
      </c>
      <c r="H210" s="2" t="s">
        <v>6</v>
      </c>
      <c r="I210" s="2" t="s">
        <v>7</v>
      </c>
      <c r="J210" s="3">
        <v>45362</v>
      </c>
    </row>
    <row r="211" spans="1:10" ht="14.25" customHeight="1" x14ac:dyDescent="0.3">
      <c r="A211" s="2" t="s">
        <v>38</v>
      </c>
      <c r="B211" s="2" t="s">
        <v>61</v>
      </c>
      <c r="C211" s="2" t="s">
        <v>53</v>
      </c>
      <c r="D211" s="2">
        <v>5</v>
      </c>
      <c r="E211" s="2">
        <v>85000</v>
      </c>
      <c r="F211" s="2">
        <f>Table1[[#This Row],[Quantity]]*Table1[[#This Row],[Unit_Price]]</f>
        <v>425000</v>
      </c>
      <c r="G211" s="2" t="str">
        <f t="shared" si="3"/>
        <v>Thấp</v>
      </c>
      <c r="H211" s="2" t="s">
        <v>8</v>
      </c>
      <c r="I211" s="2" t="s">
        <v>22</v>
      </c>
      <c r="J211" s="4">
        <v>45617</v>
      </c>
    </row>
    <row r="212" spans="1:10" ht="14.25" customHeight="1" x14ac:dyDescent="0.3">
      <c r="A212" s="2" t="s">
        <v>37</v>
      </c>
      <c r="B212" s="2" t="s">
        <v>60</v>
      </c>
      <c r="C212" s="2" t="s">
        <v>53</v>
      </c>
      <c r="D212" s="2">
        <v>10</v>
      </c>
      <c r="E212" s="2">
        <v>180000</v>
      </c>
      <c r="F212" s="2">
        <f>Table1[[#This Row],[Quantity]]*Table1[[#This Row],[Unit_Price]]</f>
        <v>1800000</v>
      </c>
      <c r="G212" s="2" t="str">
        <f t="shared" si="3"/>
        <v>Cao</v>
      </c>
      <c r="H212" s="2" t="s">
        <v>8</v>
      </c>
      <c r="I212" s="2" t="s">
        <v>9</v>
      </c>
      <c r="J212" s="3">
        <v>45393</v>
      </c>
    </row>
    <row r="213" spans="1:10" ht="14.25" customHeight="1" x14ac:dyDescent="0.3">
      <c r="A213" s="2" t="s">
        <v>30</v>
      </c>
      <c r="B213" s="2" t="s">
        <v>52</v>
      </c>
      <c r="C213" s="2" t="s">
        <v>53</v>
      </c>
      <c r="D213" s="2">
        <v>3</v>
      </c>
      <c r="E213" s="2">
        <v>180000</v>
      </c>
      <c r="F213" s="2">
        <f>Table1[[#This Row],[Quantity]]*Table1[[#This Row],[Unit_Price]]</f>
        <v>540000</v>
      </c>
      <c r="G213" s="2" t="str">
        <f t="shared" si="3"/>
        <v>Trung bình</v>
      </c>
      <c r="H213" s="2" t="s">
        <v>11</v>
      </c>
      <c r="I213" s="2" t="s">
        <v>16</v>
      </c>
      <c r="J213" s="3">
        <v>45607</v>
      </c>
    </row>
    <row r="214" spans="1:10" ht="14.25" customHeight="1" x14ac:dyDescent="0.3">
      <c r="A214" s="2" t="s">
        <v>26</v>
      </c>
      <c r="B214" s="2" t="s">
        <v>48</v>
      </c>
      <c r="C214" s="2" t="s">
        <v>47</v>
      </c>
      <c r="D214" s="2">
        <v>2</v>
      </c>
      <c r="E214" s="2">
        <v>150000</v>
      </c>
      <c r="F214" s="2">
        <f>Table1[[#This Row],[Quantity]]*Table1[[#This Row],[Unit_Price]]</f>
        <v>300000</v>
      </c>
      <c r="G214" s="2" t="str">
        <f t="shared" si="3"/>
        <v>Thấp</v>
      </c>
      <c r="H214" s="2" t="s">
        <v>8</v>
      </c>
      <c r="I214" s="2" t="s">
        <v>22</v>
      </c>
      <c r="J214" s="3">
        <v>45515</v>
      </c>
    </row>
    <row r="215" spans="1:10" ht="14.25" customHeight="1" x14ac:dyDescent="0.3">
      <c r="A215" s="2" t="s">
        <v>38</v>
      </c>
      <c r="B215" s="2" t="s">
        <v>61</v>
      </c>
      <c r="C215" s="2" t="s">
        <v>53</v>
      </c>
      <c r="D215" s="2">
        <v>4</v>
      </c>
      <c r="E215" s="2">
        <v>85000</v>
      </c>
      <c r="F215" s="2">
        <f>Table1[[#This Row],[Quantity]]*Table1[[#This Row],[Unit_Price]]</f>
        <v>340000</v>
      </c>
      <c r="G215" s="2" t="str">
        <f t="shared" si="3"/>
        <v>Thấp</v>
      </c>
      <c r="H215" s="2" t="s">
        <v>8</v>
      </c>
      <c r="I215" s="2" t="s">
        <v>22</v>
      </c>
      <c r="J215" s="4">
        <v>45610</v>
      </c>
    </row>
    <row r="216" spans="1:10" ht="14.25" customHeight="1" x14ac:dyDescent="0.3">
      <c r="A216" s="2" t="s">
        <v>39</v>
      </c>
      <c r="B216" s="2" t="s">
        <v>62</v>
      </c>
      <c r="C216" s="2" t="s">
        <v>47</v>
      </c>
      <c r="D216" s="2">
        <v>7</v>
      </c>
      <c r="E216" s="2">
        <v>130000</v>
      </c>
      <c r="F216" s="2">
        <f>Table1[[#This Row],[Quantity]]*Table1[[#This Row],[Unit_Price]]</f>
        <v>910000</v>
      </c>
      <c r="G216" s="2" t="str">
        <f t="shared" si="3"/>
        <v>Trung bình</v>
      </c>
      <c r="H216" s="2" t="s">
        <v>6</v>
      </c>
      <c r="I216" s="2" t="s">
        <v>21</v>
      </c>
      <c r="J216" s="4">
        <v>45619</v>
      </c>
    </row>
    <row r="217" spans="1:10" ht="14.25" customHeight="1" x14ac:dyDescent="0.3">
      <c r="A217" s="2" t="s">
        <v>31</v>
      </c>
      <c r="B217" s="2" t="s">
        <v>54</v>
      </c>
      <c r="C217" s="2" t="s">
        <v>53</v>
      </c>
      <c r="D217" s="2">
        <v>1</v>
      </c>
      <c r="E217" s="2">
        <v>220000</v>
      </c>
      <c r="F217" s="2">
        <f>Table1[[#This Row],[Quantity]]*Table1[[#This Row],[Unit_Price]]</f>
        <v>220000</v>
      </c>
      <c r="G217" s="2" t="str">
        <f t="shared" si="3"/>
        <v>Thấp</v>
      </c>
      <c r="H217" s="2" t="s">
        <v>11</v>
      </c>
      <c r="I217" s="2" t="s">
        <v>16</v>
      </c>
      <c r="J217" s="4">
        <v>45621</v>
      </c>
    </row>
    <row r="218" spans="1:10" ht="14.25" customHeight="1" x14ac:dyDescent="0.3">
      <c r="A218" s="2" t="s">
        <v>36</v>
      </c>
      <c r="B218" s="2" t="s">
        <v>59</v>
      </c>
      <c r="C218" s="2" t="s">
        <v>45</v>
      </c>
      <c r="D218" s="2">
        <v>9</v>
      </c>
      <c r="E218" s="2">
        <v>150000</v>
      </c>
      <c r="F218" s="2">
        <f>Table1[[#This Row],[Quantity]]*Table1[[#This Row],[Unit_Price]]</f>
        <v>1350000</v>
      </c>
      <c r="G218" s="2" t="str">
        <f t="shared" si="3"/>
        <v>Cao</v>
      </c>
      <c r="H218" s="2" t="s">
        <v>11</v>
      </c>
      <c r="I218" s="2" t="s">
        <v>15</v>
      </c>
      <c r="J218" s="3">
        <v>45454</v>
      </c>
    </row>
    <row r="219" spans="1:10" ht="14.25" customHeight="1" x14ac:dyDescent="0.3">
      <c r="A219" s="2" t="s">
        <v>36</v>
      </c>
      <c r="B219" s="2" t="s">
        <v>59</v>
      </c>
      <c r="C219" s="2" t="s">
        <v>45</v>
      </c>
      <c r="D219" s="2">
        <v>1</v>
      </c>
      <c r="E219" s="2">
        <v>150000</v>
      </c>
      <c r="F219" s="2">
        <f>Table1[[#This Row],[Quantity]]*Table1[[#This Row],[Unit_Price]]</f>
        <v>150000</v>
      </c>
      <c r="G219" s="2" t="str">
        <f t="shared" si="3"/>
        <v>Thấp</v>
      </c>
      <c r="H219" s="2" t="s">
        <v>6</v>
      </c>
      <c r="I219" s="2" t="s">
        <v>18</v>
      </c>
      <c r="J219" s="3">
        <v>45515</v>
      </c>
    </row>
    <row r="220" spans="1:10" ht="14.25" customHeight="1" x14ac:dyDescent="0.3">
      <c r="A220" s="2" t="s">
        <v>35</v>
      </c>
      <c r="B220" s="2" t="s">
        <v>58</v>
      </c>
      <c r="C220" s="2" t="s">
        <v>45</v>
      </c>
      <c r="D220" s="2">
        <v>3</v>
      </c>
      <c r="E220" s="2">
        <v>350000</v>
      </c>
      <c r="F220" s="2">
        <f>Table1[[#This Row],[Quantity]]*Table1[[#This Row],[Unit_Price]]</f>
        <v>1050000</v>
      </c>
      <c r="G220" s="2" t="str">
        <f t="shared" si="3"/>
        <v>Cao</v>
      </c>
      <c r="H220" s="2" t="s">
        <v>8</v>
      </c>
      <c r="I220" s="2" t="s">
        <v>22</v>
      </c>
      <c r="J220" s="4">
        <v>45610</v>
      </c>
    </row>
    <row r="221" spans="1:10" ht="14.25" customHeight="1" x14ac:dyDescent="0.3">
      <c r="A221" s="2" t="s">
        <v>25</v>
      </c>
      <c r="B221" s="2" t="s">
        <v>46</v>
      </c>
      <c r="C221" s="2" t="s">
        <v>47</v>
      </c>
      <c r="D221" s="2">
        <v>3</v>
      </c>
      <c r="E221" s="2">
        <v>280000</v>
      </c>
      <c r="F221" s="2">
        <f>Table1[[#This Row],[Quantity]]*Table1[[#This Row],[Unit_Price]]</f>
        <v>840000</v>
      </c>
      <c r="G221" s="2" t="str">
        <f t="shared" si="3"/>
        <v>Trung bình</v>
      </c>
      <c r="H221" s="2" t="s">
        <v>11</v>
      </c>
      <c r="I221" s="2" t="s">
        <v>15</v>
      </c>
      <c r="J221" s="3">
        <v>45302</v>
      </c>
    </row>
    <row r="222" spans="1:10" ht="14.25" customHeight="1" x14ac:dyDescent="0.3">
      <c r="A222" s="2" t="s">
        <v>30</v>
      </c>
      <c r="B222" s="2" t="s">
        <v>52</v>
      </c>
      <c r="C222" s="2" t="s">
        <v>53</v>
      </c>
      <c r="D222" s="2">
        <v>10</v>
      </c>
      <c r="E222" s="2">
        <v>180000</v>
      </c>
      <c r="F222" s="2">
        <f>Table1[[#This Row],[Quantity]]*Table1[[#This Row],[Unit_Price]]</f>
        <v>1800000</v>
      </c>
      <c r="G222" s="2" t="str">
        <f t="shared" si="3"/>
        <v>Cao</v>
      </c>
      <c r="H222" s="2" t="s">
        <v>11</v>
      </c>
      <c r="I222" s="2" t="s">
        <v>16</v>
      </c>
      <c r="J222" s="3">
        <v>45607</v>
      </c>
    </row>
    <row r="223" spans="1:10" ht="14.25" customHeight="1" x14ac:dyDescent="0.3">
      <c r="A223" s="2" t="s">
        <v>28</v>
      </c>
      <c r="B223" s="2" t="s">
        <v>50</v>
      </c>
      <c r="C223" s="2" t="s">
        <v>47</v>
      </c>
      <c r="D223" s="2">
        <v>4</v>
      </c>
      <c r="E223" s="2">
        <v>220000</v>
      </c>
      <c r="F223" s="2">
        <f>Table1[[#This Row],[Quantity]]*Table1[[#This Row],[Unit_Price]]</f>
        <v>880000</v>
      </c>
      <c r="G223" s="2" t="str">
        <f t="shared" si="3"/>
        <v>Trung bình</v>
      </c>
      <c r="H223" s="2" t="s">
        <v>8</v>
      </c>
      <c r="I223" s="2" t="s">
        <v>9</v>
      </c>
      <c r="J223" s="3">
        <v>45546</v>
      </c>
    </row>
    <row r="224" spans="1:10" ht="14.25" customHeight="1" x14ac:dyDescent="0.3">
      <c r="A224" s="2" t="s">
        <v>43</v>
      </c>
      <c r="B224" s="2" t="s">
        <v>66</v>
      </c>
      <c r="C224" s="2" t="s">
        <v>53</v>
      </c>
      <c r="D224" s="2">
        <v>9</v>
      </c>
      <c r="E224" s="2">
        <v>250000</v>
      </c>
      <c r="F224" s="2">
        <f>Table1[[#This Row],[Quantity]]*Table1[[#This Row],[Unit_Price]]</f>
        <v>2250000</v>
      </c>
      <c r="G224" s="2" t="str">
        <f t="shared" si="3"/>
        <v>Cao</v>
      </c>
      <c r="H224" s="2" t="s">
        <v>6</v>
      </c>
      <c r="I224" s="2" t="s">
        <v>21</v>
      </c>
      <c r="J224" s="4">
        <v>45621</v>
      </c>
    </row>
    <row r="225" spans="1:10" ht="14.25" customHeight="1" x14ac:dyDescent="0.3">
      <c r="A225" s="2" t="s">
        <v>29</v>
      </c>
      <c r="B225" s="2" t="s">
        <v>51</v>
      </c>
      <c r="C225" s="2" t="s">
        <v>45</v>
      </c>
      <c r="D225" s="2">
        <v>9</v>
      </c>
      <c r="E225" s="2">
        <v>120000</v>
      </c>
      <c r="F225" s="2">
        <f>Table1[[#This Row],[Quantity]]*Table1[[#This Row],[Unit_Price]]</f>
        <v>1080000</v>
      </c>
      <c r="G225" s="2" t="str">
        <f t="shared" si="3"/>
        <v>Cao</v>
      </c>
      <c r="H225" s="2" t="s">
        <v>6</v>
      </c>
      <c r="I225" s="2" t="s">
        <v>21</v>
      </c>
      <c r="J225" s="4">
        <v>45614</v>
      </c>
    </row>
    <row r="226" spans="1:10" ht="14.25" customHeight="1" x14ac:dyDescent="0.3">
      <c r="A226" s="2" t="s">
        <v>41</v>
      </c>
      <c r="B226" s="2" t="s">
        <v>64</v>
      </c>
      <c r="C226" s="2" t="s">
        <v>47</v>
      </c>
      <c r="D226" s="2">
        <v>3</v>
      </c>
      <c r="E226" s="2">
        <v>350000</v>
      </c>
      <c r="F226" s="2">
        <f>Table1[[#This Row],[Quantity]]*Table1[[#This Row],[Unit_Price]]</f>
        <v>1050000</v>
      </c>
      <c r="G226" s="2" t="str">
        <f t="shared" si="3"/>
        <v>Cao</v>
      </c>
      <c r="H226" s="2" t="s">
        <v>11</v>
      </c>
      <c r="I226" s="2" t="s">
        <v>13</v>
      </c>
      <c r="J226" s="4">
        <v>45622</v>
      </c>
    </row>
    <row r="227" spans="1:10" ht="14.25" customHeight="1" x14ac:dyDescent="0.3">
      <c r="A227" s="2" t="s">
        <v>40</v>
      </c>
      <c r="B227" s="2" t="s">
        <v>63</v>
      </c>
      <c r="C227" s="2" t="s">
        <v>53</v>
      </c>
      <c r="D227" s="2">
        <v>4</v>
      </c>
      <c r="E227" s="2">
        <v>95000</v>
      </c>
      <c r="F227" s="2">
        <f>Table1[[#This Row],[Quantity]]*Table1[[#This Row],[Unit_Price]]</f>
        <v>380000</v>
      </c>
      <c r="G227" s="2" t="str">
        <f t="shared" si="3"/>
        <v>Thấp</v>
      </c>
      <c r="H227" s="2" t="s">
        <v>8</v>
      </c>
      <c r="I227" s="2" t="s">
        <v>9</v>
      </c>
      <c r="J227" s="3">
        <v>45546</v>
      </c>
    </row>
    <row r="228" spans="1:10" ht="14.25" customHeight="1" x14ac:dyDescent="0.3">
      <c r="A228" s="2" t="s">
        <v>34</v>
      </c>
      <c r="B228" s="2" t="s">
        <v>57</v>
      </c>
      <c r="C228" s="2" t="s">
        <v>47</v>
      </c>
      <c r="D228" s="2">
        <v>8</v>
      </c>
      <c r="E228" s="2">
        <v>195000</v>
      </c>
      <c r="F228" s="2">
        <f>Table1[[#This Row],[Quantity]]*Table1[[#This Row],[Unit_Price]]</f>
        <v>1560000</v>
      </c>
      <c r="G228" s="2" t="str">
        <f t="shared" si="3"/>
        <v>Cao</v>
      </c>
      <c r="H228" s="2" t="s">
        <v>8</v>
      </c>
      <c r="I228" s="2" t="s">
        <v>9</v>
      </c>
      <c r="J228" s="4">
        <v>45624</v>
      </c>
    </row>
    <row r="229" spans="1:10" ht="14.25" customHeight="1" x14ac:dyDescent="0.3">
      <c r="A229" s="2" t="s">
        <v>37</v>
      </c>
      <c r="B229" s="2" t="s">
        <v>60</v>
      </c>
      <c r="C229" s="2" t="s">
        <v>53</v>
      </c>
      <c r="D229" s="2">
        <v>5</v>
      </c>
      <c r="E229" s="2">
        <v>180000</v>
      </c>
      <c r="F229" s="2">
        <f>Table1[[#This Row],[Quantity]]*Table1[[#This Row],[Unit_Price]]</f>
        <v>900000</v>
      </c>
      <c r="G229" s="2" t="str">
        <f t="shared" si="3"/>
        <v>Trung bình</v>
      </c>
      <c r="H229" s="2" t="s">
        <v>6</v>
      </c>
      <c r="I229" s="2" t="s">
        <v>17</v>
      </c>
      <c r="J229" s="3">
        <v>45515</v>
      </c>
    </row>
    <row r="230" spans="1:10" ht="14.25" customHeight="1" x14ac:dyDescent="0.3">
      <c r="A230" s="2" t="s">
        <v>30</v>
      </c>
      <c r="B230" s="2" t="s">
        <v>52</v>
      </c>
      <c r="C230" s="2" t="s">
        <v>53</v>
      </c>
      <c r="D230" s="2">
        <v>7</v>
      </c>
      <c r="E230" s="2">
        <v>180000</v>
      </c>
      <c r="F230" s="2">
        <f>Table1[[#This Row],[Quantity]]*Table1[[#This Row],[Unit_Price]]</f>
        <v>1260000</v>
      </c>
      <c r="G230" s="2" t="str">
        <f t="shared" si="3"/>
        <v>Cao</v>
      </c>
      <c r="H230" s="2" t="s">
        <v>6</v>
      </c>
      <c r="I230" s="2" t="s">
        <v>10</v>
      </c>
      <c r="J230" s="4">
        <v>45612</v>
      </c>
    </row>
    <row r="231" spans="1:10" ht="14.25" customHeight="1" x14ac:dyDescent="0.3">
      <c r="A231" s="2" t="s">
        <v>38</v>
      </c>
      <c r="B231" s="2" t="s">
        <v>61</v>
      </c>
      <c r="C231" s="2" t="s">
        <v>53</v>
      </c>
      <c r="D231" s="2">
        <v>8</v>
      </c>
      <c r="E231" s="2">
        <v>85000</v>
      </c>
      <c r="F231" s="2">
        <f>Table1[[#This Row],[Quantity]]*Table1[[#This Row],[Unit_Price]]</f>
        <v>680000</v>
      </c>
      <c r="G231" s="2" t="str">
        <f t="shared" si="3"/>
        <v>Trung bình</v>
      </c>
      <c r="H231" s="2" t="s">
        <v>8</v>
      </c>
      <c r="I231" s="2" t="s">
        <v>14</v>
      </c>
      <c r="J231" s="4">
        <v>45613</v>
      </c>
    </row>
    <row r="232" spans="1:10" ht="14.25" customHeight="1" x14ac:dyDescent="0.3">
      <c r="A232" s="2" t="s">
        <v>27</v>
      </c>
      <c r="B232" s="2" t="s">
        <v>49</v>
      </c>
      <c r="C232" s="2" t="s">
        <v>45</v>
      </c>
      <c r="D232" s="2">
        <v>10</v>
      </c>
      <c r="E232" s="2">
        <v>550000</v>
      </c>
      <c r="F232" s="2">
        <f>Table1[[#This Row],[Quantity]]*Table1[[#This Row],[Unit_Price]]</f>
        <v>5500000</v>
      </c>
      <c r="G232" s="2" t="str">
        <f t="shared" si="3"/>
        <v>Cao</v>
      </c>
      <c r="H232" s="2" t="s">
        <v>6</v>
      </c>
      <c r="I232" s="2" t="s">
        <v>7</v>
      </c>
      <c r="J232" s="4">
        <v>45622</v>
      </c>
    </row>
    <row r="233" spans="1:10" ht="14.25" customHeight="1" x14ac:dyDescent="0.3">
      <c r="A233" s="2" t="s">
        <v>27</v>
      </c>
      <c r="B233" s="2" t="s">
        <v>49</v>
      </c>
      <c r="C233" s="2" t="s">
        <v>45</v>
      </c>
      <c r="D233" s="2">
        <v>1</v>
      </c>
      <c r="E233" s="2">
        <v>550000</v>
      </c>
      <c r="F233" s="2">
        <f>Table1[[#This Row],[Quantity]]*Table1[[#This Row],[Unit_Price]]</f>
        <v>550000</v>
      </c>
      <c r="G233" s="2" t="str">
        <f t="shared" si="3"/>
        <v>Trung bình</v>
      </c>
      <c r="H233" s="2" t="s">
        <v>8</v>
      </c>
      <c r="I233" s="2" t="s">
        <v>22</v>
      </c>
      <c r="J233" s="4">
        <v>45610</v>
      </c>
    </row>
    <row r="234" spans="1:10" ht="14.25" customHeight="1" x14ac:dyDescent="0.3">
      <c r="A234" s="2" t="s">
        <v>30</v>
      </c>
      <c r="B234" s="2" t="s">
        <v>52</v>
      </c>
      <c r="C234" s="2" t="s">
        <v>53</v>
      </c>
      <c r="D234" s="2">
        <v>6</v>
      </c>
      <c r="E234" s="2">
        <v>180000</v>
      </c>
      <c r="F234" s="2">
        <f>Table1[[#This Row],[Quantity]]*Table1[[#This Row],[Unit_Price]]</f>
        <v>1080000</v>
      </c>
      <c r="G234" s="2" t="str">
        <f t="shared" si="3"/>
        <v>Cao</v>
      </c>
      <c r="H234" s="2" t="s">
        <v>11</v>
      </c>
      <c r="I234" s="2" t="s">
        <v>12</v>
      </c>
      <c r="J234" s="4">
        <v>45613</v>
      </c>
    </row>
    <row r="235" spans="1:10" ht="14.25" customHeight="1" x14ac:dyDescent="0.3">
      <c r="A235" s="2" t="s">
        <v>25</v>
      </c>
      <c r="B235" s="2" t="s">
        <v>46</v>
      </c>
      <c r="C235" s="2" t="s">
        <v>47</v>
      </c>
      <c r="D235" s="2">
        <v>10</v>
      </c>
      <c r="E235" s="2">
        <v>280000</v>
      </c>
      <c r="F235" s="2">
        <f>Table1[[#This Row],[Quantity]]*Table1[[#This Row],[Unit_Price]]</f>
        <v>2800000</v>
      </c>
      <c r="G235" s="2" t="str">
        <f t="shared" si="3"/>
        <v>Cao</v>
      </c>
      <c r="H235" s="2" t="s">
        <v>6</v>
      </c>
      <c r="I235" s="2" t="s">
        <v>10</v>
      </c>
      <c r="J235" s="3">
        <v>45302</v>
      </c>
    </row>
    <row r="236" spans="1:10" ht="14.25" customHeight="1" x14ac:dyDescent="0.3">
      <c r="A236" s="2" t="s">
        <v>43</v>
      </c>
      <c r="B236" s="2" t="s">
        <v>66</v>
      </c>
      <c r="C236" s="2" t="s">
        <v>53</v>
      </c>
      <c r="D236" s="2">
        <v>2</v>
      </c>
      <c r="E236" s="2">
        <v>250000</v>
      </c>
      <c r="F236" s="2">
        <f>Table1[[#This Row],[Quantity]]*Table1[[#This Row],[Unit_Price]]</f>
        <v>500000</v>
      </c>
      <c r="G236" s="2" t="str">
        <f t="shared" si="3"/>
        <v>Trung bình</v>
      </c>
      <c r="H236" s="2" t="s">
        <v>8</v>
      </c>
      <c r="I236" s="2" t="s">
        <v>9</v>
      </c>
      <c r="J236" s="4">
        <v>45612</v>
      </c>
    </row>
    <row r="237" spans="1:10" ht="14.25" customHeight="1" x14ac:dyDescent="0.3">
      <c r="A237" s="2" t="s">
        <v>25</v>
      </c>
      <c r="B237" s="2" t="s">
        <v>46</v>
      </c>
      <c r="C237" s="2" t="s">
        <v>47</v>
      </c>
      <c r="D237" s="2">
        <v>5</v>
      </c>
      <c r="E237" s="2">
        <v>280000</v>
      </c>
      <c r="F237" s="2">
        <f>Table1[[#This Row],[Quantity]]*Table1[[#This Row],[Unit_Price]]</f>
        <v>1400000</v>
      </c>
      <c r="G237" s="2" t="str">
        <f t="shared" si="3"/>
        <v>Cao</v>
      </c>
      <c r="H237" s="2" t="s">
        <v>6</v>
      </c>
      <c r="I237" s="2" t="s">
        <v>21</v>
      </c>
      <c r="J237" s="3">
        <v>45515</v>
      </c>
    </row>
    <row r="238" spans="1:10" ht="14.25" customHeight="1" x14ac:dyDescent="0.3">
      <c r="A238" s="2" t="s">
        <v>35</v>
      </c>
      <c r="B238" s="2" t="s">
        <v>58</v>
      </c>
      <c r="C238" s="2" t="s">
        <v>45</v>
      </c>
      <c r="D238" s="2">
        <v>5</v>
      </c>
      <c r="E238" s="2">
        <v>350000</v>
      </c>
      <c r="F238" s="2">
        <f>Table1[[#This Row],[Quantity]]*Table1[[#This Row],[Unit_Price]]</f>
        <v>1750000</v>
      </c>
      <c r="G238" s="2" t="str">
        <f t="shared" si="3"/>
        <v>Cao</v>
      </c>
      <c r="H238" s="2" t="s">
        <v>11</v>
      </c>
      <c r="I238" s="2" t="s">
        <v>16</v>
      </c>
      <c r="J238" s="4">
        <v>45614</v>
      </c>
    </row>
    <row r="239" spans="1:10" ht="14.25" customHeight="1" x14ac:dyDescent="0.3">
      <c r="A239" s="2" t="s">
        <v>26</v>
      </c>
      <c r="B239" s="2" t="s">
        <v>48</v>
      </c>
      <c r="C239" s="2" t="s">
        <v>47</v>
      </c>
      <c r="D239" s="2">
        <v>9</v>
      </c>
      <c r="E239" s="2">
        <v>150000</v>
      </c>
      <c r="F239" s="2">
        <f>Table1[[#This Row],[Quantity]]*Table1[[#This Row],[Unit_Price]]</f>
        <v>1350000</v>
      </c>
      <c r="G239" s="2" t="str">
        <f t="shared" si="3"/>
        <v>Cao</v>
      </c>
      <c r="H239" s="2" t="s">
        <v>6</v>
      </c>
      <c r="I239" s="2" t="s">
        <v>17</v>
      </c>
      <c r="J239" s="3">
        <v>45393</v>
      </c>
    </row>
    <row r="240" spans="1:10" ht="14.25" customHeight="1" x14ac:dyDescent="0.3">
      <c r="A240" s="2" t="s">
        <v>35</v>
      </c>
      <c r="B240" s="2" t="s">
        <v>58</v>
      </c>
      <c r="C240" s="2" t="s">
        <v>45</v>
      </c>
      <c r="D240" s="2">
        <v>1</v>
      </c>
      <c r="E240" s="2">
        <v>350000</v>
      </c>
      <c r="F240" s="2">
        <f>Table1[[#This Row],[Quantity]]*Table1[[#This Row],[Unit_Price]]</f>
        <v>350000</v>
      </c>
      <c r="G240" s="2" t="str">
        <f t="shared" si="3"/>
        <v>Thấp</v>
      </c>
      <c r="H240" s="2" t="s">
        <v>11</v>
      </c>
      <c r="I240" s="2" t="s">
        <v>12</v>
      </c>
      <c r="J240" s="3">
        <v>45362</v>
      </c>
    </row>
    <row r="241" spans="1:10" ht="14.25" customHeight="1" x14ac:dyDescent="0.3">
      <c r="A241" s="2" t="s">
        <v>24</v>
      </c>
      <c r="B241" s="2" t="s">
        <v>44</v>
      </c>
      <c r="C241" s="2" t="s">
        <v>45</v>
      </c>
      <c r="D241" s="2">
        <v>4</v>
      </c>
      <c r="E241" s="2">
        <v>280000</v>
      </c>
      <c r="F241" s="2">
        <f>Table1[[#This Row],[Quantity]]*Table1[[#This Row],[Unit_Price]]</f>
        <v>1120000</v>
      </c>
      <c r="G241" s="2" t="str">
        <f t="shared" si="3"/>
        <v>Cao</v>
      </c>
      <c r="H241" s="2" t="s">
        <v>6</v>
      </c>
      <c r="I241" s="2" t="s">
        <v>19</v>
      </c>
      <c r="J241" s="4">
        <v>45626</v>
      </c>
    </row>
    <row r="242" spans="1:10" ht="14.25" customHeight="1" x14ac:dyDescent="0.3">
      <c r="A242" s="2" t="s">
        <v>24</v>
      </c>
      <c r="B242" s="2" t="s">
        <v>44</v>
      </c>
      <c r="C242" s="2" t="s">
        <v>45</v>
      </c>
      <c r="D242" s="2">
        <v>3</v>
      </c>
      <c r="E242" s="2">
        <v>280000</v>
      </c>
      <c r="F242" s="2">
        <f>Table1[[#This Row],[Quantity]]*Table1[[#This Row],[Unit_Price]]</f>
        <v>840000</v>
      </c>
      <c r="G242" s="2" t="str">
        <f t="shared" si="3"/>
        <v>Trung bình</v>
      </c>
      <c r="H242" s="2" t="s">
        <v>11</v>
      </c>
      <c r="I242" s="2" t="s">
        <v>15</v>
      </c>
      <c r="J242" s="4">
        <v>45616</v>
      </c>
    </row>
    <row r="243" spans="1:10" ht="14.25" customHeight="1" x14ac:dyDescent="0.3">
      <c r="A243" s="2" t="s">
        <v>36</v>
      </c>
      <c r="B243" s="2" t="s">
        <v>59</v>
      </c>
      <c r="C243" s="2" t="s">
        <v>45</v>
      </c>
      <c r="D243" s="2">
        <v>2</v>
      </c>
      <c r="E243" s="2">
        <v>150000</v>
      </c>
      <c r="F243" s="2">
        <f>Table1[[#This Row],[Quantity]]*Table1[[#This Row],[Unit_Price]]</f>
        <v>300000</v>
      </c>
      <c r="G243" s="2" t="str">
        <f t="shared" si="3"/>
        <v>Thấp</v>
      </c>
      <c r="H243" s="2" t="s">
        <v>11</v>
      </c>
      <c r="I243" s="2" t="s">
        <v>13</v>
      </c>
      <c r="J243" s="4">
        <v>45621</v>
      </c>
    </row>
    <row r="244" spans="1:10" ht="14.25" customHeight="1" x14ac:dyDescent="0.3">
      <c r="A244" s="2" t="s">
        <v>30</v>
      </c>
      <c r="B244" s="2" t="s">
        <v>52</v>
      </c>
      <c r="C244" s="2" t="s">
        <v>53</v>
      </c>
      <c r="D244" s="2">
        <v>7</v>
      </c>
      <c r="E244" s="2">
        <v>180000</v>
      </c>
      <c r="F244" s="2">
        <f>Table1[[#This Row],[Quantity]]*Table1[[#This Row],[Unit_Price]]</f>
        <v>1260000</v>
      </c>
      <c r="G244" s="2" t="str">
        <f t="shared" si="3"/>
        <v>Cao</v>
      </c>
      <c r="H244" s="2" t="s">
        <v>8</v>
      </c>
      <c r="I244" s="2" t="s">
        <v>9</v>
      </c>
      <c r="J244" s="4">
        <v>45614</v>
      </c>
    </row>
    <row r="245" spans="1:10" ht="14.25" customHeight="1" x14ac:dyDescent="0.3">
      <c r="A245" s="2" t="s">
        <v>31</v>
      </c>
      <c r="B245" s="2" t="s">
        <v>54</v>
      </c>
      <c r="C245" s="2" t="s">
        <v>53</v>
      </c>
      <c r="D245" s="2">
        <v>6</v>
      </c>
      <c r="E245" s="2">
        <v>220000</v>
      </c>
      <c r="F245" s="2">
        <f>Table1[[#This Row],[Quantity]]*Table1[[#This Row],[Unit_Price]]</f>
        <v>1320000</v>
      </c>
      <c r="G245" s="2" t="str">
        <f t="shared" si="3"/>
        <v>Cao</v>
      </c>
      <c r="H245" s="2" t="s">
        <v>11</v>
      </c>
      <c r="I245" s="2" t="s">
        <v>12</v>
      </c>
      <c r="J245" s="3">
        <v>45515</v>
      </c>
    </row>
    <row r="246" spans="1:10" ht="14.25" customHeight="1" x14ac:dyDescent="0.3">
      <c r="A246" s="2" t="s">
        <v>24</v>
      </c>
      <c r="B246" s="2" t="s">
        <v>44</v>
      </c>
      <c r="C246" s="2" t="s">
        <v>45</v>
      </c>
      <c r="D246" s="2">
        <v>7</v>
      </c>
      <c r="E246" s="2">
        <v>280000</v>
      </c>
      <c r="F246" s="2">
        <f>Table1[[#This Row],[Quantity]]*Table1[[#This Row],[Unit_Price]]</f>
        <v>1960000</v>
      </c>
      <c r="G246" s="2" t="str">
        <f t="shared" si="3"/>
        <v>Cao</v>
      </c>
      <c r="H246" s="2" t="s">
        <v>6</v>
      </c>
      <c r="I246" s="2" t="s">
        <v>19</v>
      </c>
      <c r="J246" s="4">
        <v>45609</v>
      </c>
    </row>
    <row r="247" spans="1:10" ht="14.25" customHeight="1" x14ac:dyDescent="0.3">
      <c r="A247" s="2" t="s">
        <v>43</v>
      </c>
      <c r="B247" s="2" t="s">
        <v>66</v>
      </c>
      <c r="C247" s="2" t="s">
        <v>53</v>
      </c>
      <c r="D247" s="2">
        <v>6</v>
      </c>
      <c r="E247" s="2">
        <v>250000</v>
      </c>
      <c r="F247" s="2">
        <f>Table1[[#This Row],[Quantity]]*Table1[[#This Row],[Unit_Price]]</f>
        <v>1500000</v>
      </c>
      <c r="G247" s="2" t="str">
        <f t="shared" si="3"/>
        <v>Cao</v>
      </c>
      <c r="H247" s="2" t="s">
        <v>11</v>
      </c>
      <c r="I247" s="2" t="s">
        <v>20</v>
      </c>
      <c r="J247" s="3">
        <v>45302</v>
      </c>
    </row>
    <row r="248" spans="1:10" ht="14.25" customHeight="1" x14ac:dyDescent="0.3">
      <c r="A248" s="2" t="s">
        <v>36</v>
      </c>
      <c r="B248" s="2" t="s">
        <v>59</v>
      </c>
      <c r="C248" s="2" t="s">
        <v>45</v>
      </c>
      <c r="D248" s="2">
        <v>8</v>
      </c>
      <c r="E248" s="2">
        <v>150000</v>
      </c>
      <c r="F248" s="2">
        <f>Table1[[#This Row],[Quantity]]*Table1[[#This Row],[Unit_Price]]</f>
        <v>1200000</v>
      </c>
      <c r="G248" s="2" t="str">
        <f t="shared" si="3"/>
        <v>Cao</v>
      </c>
      <c r="H248" s="2" t="s">
        <v>8</v>
      </c>
      <c r="I248" s="2" t="s">
        <v>14</v>
      </c>
      <c r="J248" s="4">
        <v>45625</v>
      </c>
    </row>
    <row r="249" spans="1:10" ht="14.25" customHeight="1" x14ac:dyDescent="0.3">
      <c r="A249" s="2" t="s">
        <v>27</v>
      </c>
      <c r="B249" s="2" t="s">
        <v>49</v>
      </c>
      <c r="C249" s="2" t="s">
        <v>45</v>
      </c>
      <c r="D249" s="2">
        <v>5</v>
      </c>
      <c r="E249" s="2">
        <v>550000</v>
      </c>
      <c r="F249" s="2">
        <f>Table1[[#This Row],[Quantity]]*Table1[[#This Row],[Unit_Price]]</f>
        <v>2750000</v>
      </c>
      <c r="G249" s="2" t="str">
        <f t="shared" si="3"/>
        <v>Cao</v>
      </c>
      <c r="H249" s="2" t="s">
        <v>11</v>
      </c>
      <c r="I249" s="2" t="s">
        <v>12</v>
      </c>
      <c r="J249" s="4">
        <v>45617</v>
      </c>
    </row>
    <row r="250" spans="1:10" ht="14.25" customHeight="1" x14ac:dyDescent="0.3">
      <c r="A250" s="2" t="s">
        <v>34</v>
      </c>
      <c r="B250" s="2" t="s">
        <v>57</v>
      </c>
      <c r="C250" s="2" t="s">
        <v>47</v>
      </c>
      <c r="D250" s="2">
        <v>6</v>
      </c>
      <c r="E250" s="2">
        <v>195000</v>
      </c>
      <c r="F250" s="2">
        <f>Table1[[#This Row],[Quantity]]*Table1[[#This Row],[Unit_Price]]</f>
        <v>1170000</v>
      </c>
      <c r="G250" s="2" t="str">
        <f t="shared" si="3"/>
        <v>Cao</v>
      </c>
      <c r="H250" s="2" t="s">
        <v>6</v>
      </c>
      <c r="I250" s="2" t="s">
        <v>10</v>
      </c>
      <c r="J250" s="4">
        <v>45622</v>
      </c>
    </row>
    <row r="251" spans="1:10" ht="14.25" customHeight="1" x14ac:dyDescent="0.3">
      <c r="A251" s="2" t="s">
        <v>35</v>
      </c>
      <c r="B251" s="2" t="s">
        <v>58</v>
      </c>
      <c r="C251" s="2" t="s">
        <v>45</v>
      </c>
      <c r="D251" s="2">
        <v>7</v>
      </c>
      <c r="E251" s="2">
        <v>350000</v>
      </c>
      <c r="F251" s="2">
        <f>Table1[[#This Row],[Quantity]]*Table1[[#This Row],[Unit_Price]]</f>
        <v>2450000</v>
      </c>
      <c r="G251" s="2" t="str">
        <f t="shared" si="3"/>
        <v>Cao</v>
      </c>
      <c r="H251" s="2" t="s">
        <v>11</v>
      </c>
      <c r="I251" s="2" t="s">
        <v>12</v>
      </c>
      <c r="J251" s="4">
        <v>45626</v>
      </c>
    </row>
    <row r="252" spans="1:10" ht="14.25" customHeight="1" x14ac:dyDescent="0.3"/>
    <row r="253" spans="1:10" ht="14.25" customHeight="1" x14ac:dyDescent="0.3"/>
    <row r="254" spans="1:10" ht="14.25" customHeight="1" x14ac:dyDescent="0.3"/>
    <row r="255" spans="1:10" ht="14.25" customHeight="1" x14ac:dyDescent="0.3"/>
    <row r="256" spans="1:10"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sheetData>
  <phoneticPr fontId="4" type="noConversion"/>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Dataset_SS08_Bai1_ThoiTrang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Khanh Linh Le Vu</cp:lastModifiedBy>
  <dcterms:created xsi:type="dcterms:W3CDTF">2026-01-21T08:52:59Z</dcterms:created>
  <dcterms:modified xsi:type="dcterms:W3CDTF">2026-01-22T02:42:46Z</dcterms:modified>
</cp:coreProperties>
</file>