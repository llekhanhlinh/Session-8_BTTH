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hhoan\Downloads\"/>
    </mc:Choice>
  </mc:AlternateContent>
  <xr:revisionPtr revIDLastSave="0" documentId="13_ncr:1_{C0CA6C74-C778-46C8-9E9F-F4DF4D9161B0}" xr6:coauthVersionLast="47" xr6:coauthVersionMax="47" xr10:uidLastSave="{00000000-0000-0000-0000-000000000000}"/>
  <bookViews>
    <workbookView xWindow="-108" yWindow="-108" windowWidth="23256" windowHeight="12456" activeTab="1" xr2:uid="{1C40C56B-FCB4-4902-88E3-2FF3F7BB78A4}"/>
  </bookViews>
  <sheets>
    <sheet name="Sheet1" sheetId="2" r:id="rId1"/>
    <sheet name="Dataset_SS08_Bai2_NhaHang (1)" sheetId="1" r:id="rId2"/>
  </sheets>
  <definedNames>
    <definedName name="Slicer_Gio_Cao_Diem">#N/A</definedName>
  </definedNames>
  <calcPr calcId="191029"/>
  <pivotCaches>
    <pivotCache cacheId="6" r:id="rId3"/>
  </pivotCaches>
  <extLs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Lst>
</workbook>
</file>

<file path=xl/calcChain.xml><?xml version="1.0" encoding="utf-8"?>
<calcChain xmlns="http://schemas.openxmlformats.org/spreadsheetml/2006/main">
  <c r="M2" i="1" l="1"/>
  <c r="L2" i="1"/>
  <c r="K2" i="1"/>
  <c r="F2" i="1"/>
  <c r="H2" i="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alcChain>
</file>

<file path=xl/sharedStrings.xml><?xml version="1.0" encoding="utf-8"?>
<sst xmlns="http://schemas.openxmlformats.org/spreadsheetml/2006/main" count="1066" uniqueCount="67">
  <si>
    <t>Qty</t>
  </si>
  <si>
    <t>Price</t>
  </si>
  <si>
    <t>Ca_Lam</t>
  </si>
  <si>
    <t>Thoi_Gian</t>
  </si>
  <si>
    <t>Ca sáng</t>
  </si>
  <si>
    <t>Ca tối</t>
  </si>
  <si>
    <t xml:space="preserve">BÀN_02 </t>
  </si>
  <si>
    <t xml:space="preserve">BÀN_08 </t>
  </si>
  <si>
    <t xml:space="preserve">BÀN_18 </t>
  </si>
  <si>
    <t xml:space="preserve">BÀN_03 </t>
  </si>
  <si>
    <t xml:space="preserve">BÀN_12 </t>
  </si>
  <si>
    <t xml:space="preserve">BÀN_14 </t>
  </si>
  <si>
    <t xml:space="preserve">BÀN_16 </t>
  </si>
  <si>
    <t xml:space="preserve">BÀN_10 </t>
  </si>
  <si>
    <t xml:space="preserve">BÀN_06 </t>
  </si>
  <si>
    <t xml:space="preserve">BÀN_17 </t>
  </si>
  <si>
    <t xml:space="preserve">BÀN_04 </t>
  </si>
  <si>
    <t xml:space="preserve">BÀN_01 </t>
  </si>
  <si>
    <t xml:space="preserve">BÀN_09 </t>
  </si>
  <si>
    <t xml:space="preserve">BÀN_20 </t>
  </si>
  <si>
    <t xml:space="preserve">BÀN_05 </t>
  </si>
  <si>
    <t xml:space="preserve">BÀN_15 </t>
  </si>
  <si>
    <t xml:space="preserve">BÀN_07 </t>
  </si>
  <si>
    <t xml:space="preserve">BÀN_11 </t>
  </si>
  <si>
    <t xml:space="preserve">BÀN_19 </t>
  </si>
  <si>
    <t xml:space="preserve">BÀN_13 </t>
  </si>
  <si>
    <t xml:space="preserve"> Cơm rang dưa bò </t>
  </si>
  <si>
    <t xml:space="preserve"> Bánh flan </t>
  </si>
  <si>
    <t xml:space="preserve"> Trà đá </t>
  </si>
  <si>
    <t xml:space="preserve"> Mì xào hải sản </t>
  </si>
  <si>
    <t xml:space="preserve"> Phở bò tái </t>
  </si>
  <si>
    <t xml:space="preserve"> Canh chua cá lóc </t>
  </si>
  <si>
    <t xml:space="preserve"> Chè đậu đen </t>
  </si>
  <si>
    <t xml:space="preserve"> Nem rán </t>
  </si>
  <si>
    <t xml:space="preserve"> Nước ép dưa hấu </t>
  </si>
  <si>
    <t xml:space="preserve"> Kem dừa </t>
  </si>
  <si>
    <t xml:space="preserve"> Chè khúc bạch </t>
  </si>
  <si>
    <t xml:space="preserve"> Trà chanh </t>
  </si>
  <si>
    <t xml:space="preserve"> Rau muống xào tỏi </t>
  </si>
  <si>
    <t xml:space="preserve"> Gỏi cuốn tôm thịt </t>
  </si>
  <si>
    <t xml:space="preserve"> Bún bò Huế </t>
  </si>
  <si>
    <t xml:space="preserve"> Cà phê sữa đá </t>
  </si>
  <si>
    <t xml:space="preserve"> Cơm gà Hải Nam </t>
  </si>
  <si>
    <t xml:space="preserve"> Nước cam tươi </t>
  </si>
  <si>
    <t xml:space="preserve"> Sinh tố bơ </t>
  </si>
  <si>
    <t xml:space="preserve"> Cơm chiên dương châu </t>
  </si>
  <si>
    <t xml:space="preserve"> Bánh cuốn nóng </t>
  </si>
  <si>
    <t xml:space="preserve"> Đậu phụ chiên </t>
  </si>
  <si>
    <t xml:space="preserve"> Bún chả Hà Nội </t>
  </si>
  <si>
    <t>Món chính</t>
  </si>
  <si>
    <t>Tráng miệng</t>
  </si>
  <si>
    <t>Đồ uống</t>
  </si>
  <si>
    <t>Món phụ</t>
  </si>
  <si>
    <t>Số_Bàn</t>
  </si>
  <si>
    <t>Tên_Món</t>
  </si>
  <si>
    <t>Loại_Món</t>
  </si>
  <si>
    <t>Gio_Cao_Diem</t>
  </si>
  <si>
    <t>Thanh_Tien</t>
  </si>
  <si>
    <t>Row Labels</t>
  </si>
  <si>
    <t>Grand Total</t>
  </si>
  <si>
    <t>Column Labels</t>
  </si>
  <si>
    <t>Sum of Thanh_Tien</t>
  </si>
  <si>
    <t>(All)</t>
  </si>
  <si>
    <t>Doanh thu "Giờ cao điểm &lt; Doanh thu "Bình thường"</t>
  </si>
  <si>
    <t>Tổng doanh thu ca tối</t>
  </si>
  <si>
    <t>Số order trong giờ cao điểm</t>
  </si>
  <si>
    <t xml:space="preserve"> Doanh thu trung bình mỗi bàn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</si>
</sst>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20" fontId="0" fillId="0" borderId="0" xfId="0" applyNumberFormat="1"/>
    <xf numFmtId="0" fontId="16" fillId="0" borderId="0" xfId="0" applyFont="1" applyAlignment="1">
      <alignment horizontal="center"/>
    </xf>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25" formatCode="h:mm"/>
    </dxf>
    <dxf>
      <numFmt numFmtId="0" formatCode="General"/>
    </dxf>
    <dxf>
      <numFmt numFmtId="0" formatCode="General"/>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pivotCacheDefinition" Target="pivotCache/pivotCacheDefinition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s>
</file>

<file path=xl/drawings/drawing1.xml><?xml version="1.0" encoding="utf-8"?>
<xdr:wsDr xmlns:xdr="http://schemas.openxmlformats.org/drawingml/2006/spreadsheetDrawing" xmlns:a="http://schemas.openxmlformats.org/drawingml/2006/main">
  <xdr:twoCellAnchor editAs="oneCell">
    <xdr:from>
      <xdr:col>7</xdr:col>
      <xdr:colOff>68580</xdr:colOff>
      <xdr:row>1</xdr:row>
      <xdr:rowOff>60960</xdr:rowOff>
    </xdr:from>
    <xdr:to>
      <xdr:col>10</xdr:col>
      <xdr:colOff>68580</xdr:colOff>
      <xdr:row>14</xdr:row>
      <xdr:rowOff>150495</xdr:rowOff>
    </xdr:to>
    <mc:AlternateContent xmlns:mc="http://schemas.openxmlformats.org/markup-compatibility/2006">
      <mc:Choice xmlns:a14="http://schemas.microsoft.com/office/drawing/2010/main" Requires="a14">
        <xdr:graphicFrame macro="">
          <xdr:nvGraphicFramePr>
            <xdr:cNvPr id="2" name="Gio_Cao_Diem">
              <a:extLst>
                <a:ext uri="{FF2B5EF4-FFF2-40B4-BE49-F238E27FC236}">
                  <a16:creationId xmlns:a16="http://schemas.microsoft.com/office/drawing/2014/main" id="{7CE28B2B-8E1E-7DE3-B859-094F5AECEA71}"/>
                </a:ext>
              </a:extLst>
            </xdr:cNvPr>
            <xdr:cNvGraphicFramePr/>
          </xdr:nvGraphicFramePr>
          <xdr:xfrm>
            <a:off x="0" y="0"/>
            <a:ext cx="0" cy="0"/>
          </xdr:xfrm>
          <a:graphic>
            <a:graphicData uri="http://schemas.microsoft.com/office/drawing/2010/slicer">
              <sle:slicer xmlns:sle="http://schemas.microsoft.com/office/drawing/2010/slicer" name="Gio_Cao_Diem"/>
            </a:graphicData>
          </a:graphic>
        </xdr:graphicFrame>
      </mc:Choice>
      <mc:Fallback>
        <xdr:sp macro="" textlink="">
          <xdr:nvSpPr>
            <xdr:cNvPr id="0" name=""/>
            <xdr:cNvSpPr>
              <a:spLocks noTextEdit="1"/>
            </xdr:cNvSpPr>
          </xdr:nvSpPr>
          <xdr:spPr>
            <a:xfrm>
              <a:off x="5768340" y="24384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 refreshedDate="46044.50612395833" createdVersion="8" refreshedVersion="8" minRefreshableVersion="3" recordCount="260" xr:uid="{7946DF2B-DC43-495A-82C6-3F8B523BBE85}">
  <cacheSource type="worksheet">
    <worksheetSource name="Table1"/>
  </cacheSource>
  <cacheFields count="9">
    <cacheField name="Số_Bàn" numFmtId="0">
      <sharedItems count="20">
        <s v="BÀN_02 "/>
        <s v="BÀN_08 "/>
        <s v="BÀN_18 "/>
        <s v="BÀN_03 "/>
        <s v="BÀN_12 "/>
        <s v="BÀN_14 "/>
        <s v="BÀN_16 "/>
        <s v="BÀN_10 "/>
        <s v="BÀN_06 "/>
        <s v="BÀN_17 "/>
        <s v="BÀN_04 "/>
        <s v="BÀN_01 "/>
        <s v="BÀN_09 "/>
        <s v="BÀN_20 "/>
        <s v="BÀN_05 "/>
        <s v="BÀN_15 "/>
        <s v="BÀN_07 "/>
        <s v="BÀN_11 "/>
        <s v="BÀN_19 "/>
        <s v="BÀN_13 "/>
      </sharedItems>
    </cacheField>
    <cacheField name="Tên_Món" numFmtId="0">
      <sharedItems/>
    </cacheField>
    <cacheField name="Loại_Món" numFmtId="0">
      <sharedItems count="4">
        <s v="Món chính"/>
        <s v="Tráng miệng"/>
        <s v="Đồ uống"/>
        <s v="Món phụ"/>
      </sharedItems>
    </cacheField>
    <cacheField name="Qty" numFmtId="0">
      <sharedItems containsSemiMixedTypes="0" containsString="0" containsNumber="1" containsInteger="1" minValue="1" maxValue="5"/>
    </cacheField>
    <cacheField name="Price" numFmtId="0">
      <sharedItems containsSemiMixedTypes="0" containsString="0" containsNumber="1" containsInteger="1" minValue="5000" maxValue="65000"/>
    </cacheField>
    <cacheField name="Thanh_Tien" numFmtId="0">
      <sharedItems containsSemiMixedTypes="0" containsString="0" containsNumber="1" containsInteger="1" minValue="10000" maxValue="325000"/>
    </cacheField>
    <cacheField name="Ca_Lam" numFmtId="0">
      <sharedItems count="2">
        <s v="Ca sáng"/>
        <s v="Ca tối"/>
      </sharedItems>
    </cacheField>
    <cacheField name="Gio_Cao_Diem" numFmtId="0">
      <sharedItems count="2">
        <s v="Bình thường"/>
        <s v="Cao điểm"/>
      </sharedItems>
    </cacheField>
    <cacheField name="Thoi_Gian" numFmtId="20">
      <sharedItems containsSemiMixedTypes="0" containsNonDate="0" containsDate="1" containsString="0" minDate="1899-12-30T07:03:00" maxDate="1899-12-30T21:59:00"/>
    </cacheField>
  </cacheFields>
  <extLst>
    <ext xmlns:x14="http://schemas.microsoft.com/office/spreadsheetml/2009/9/main" uri="{725AE2AE-9491-48be-B2B4-4EB974FC3084}">
      <x14:pivotCacheDefinition pivotCacheId="11126457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0">
  <r>
    <x v="0"/>
    <s v=" Cơm rang dưa bò "/>
    <x v="0"/>
    <n v="3"/>
    <n v="45000"/>
    <n v="135000"/>
    <x v="0"/>
    <x v="0"/>
    <d v="1899-12-30T09:12:00"/>
  </r>
  <r>
    <x v="1"/>
    <s v=" Bánh flan "/>
    <x v="1"/>
    <n v="2"/>
    <n v="18000"/>
    <n v="36000"/>
    <x v="1"/>
    <x v="0"/>
    <d v="1899-12-30T21:14:00"/>
  </r>
  <r>
    <x v="2"/>
    <s v=" Trà đá "/>
    <x v="2"/>
    <n v="3"/>
    <n v="5000"/>
    <n v="15000"/>
    <x v="0"/>
    <x v="0"/>
    <d v="1899-12-30T08:25:00"/>
  </r>
  <r>
    <x v="3"/>
    <s v=" Mì xào hải sản "/>
    <x v="0"/>
    <n v="5"/>
    <n v="65000"/>
    <n v="325000"/>
    <x v="1"/>
    <x v="1"/>
    <d v="1899-12-30T18:30:00"/>
  </r>
  <r>
    <x v="4"/>
    <s v=" Phở bò tái "/>
    <x v="0"/>
    <n v="2"/>
    <n v="55000"/>
    <n v="110000"/>
    <x v="1"/>
    <x v="1"/>
    <d v="1899-12-30T18:29:00"/>
  </r>
  <r>
    <x v="5"/>
    <s v=" Mì xào hải sản "/>
    <x v="0"/>
    <n v="4"/>
    <n v="65000"/>
    <n v="260000"/>
    <x v="1"/>
    <x v="0"/>
    <d v="1899-12-30T20:57:00"/>
  </r>
  <r>
    <x v="6"/>
    <s v=" Cơm rang dưa bò "/>
    <x v="0"/>
    <n v="1"/>
    <n v="45000"/>
    <n v="45000"/>
    <x v="1"/>
    <x v="0"/>
    <d v="1899-12-30T17:02:00"/>
  </r>
  <r>
    <x v="7"/>
    <s v=" Canh chua cá lóc "/>
    <x v="3"/>
    <n v="2"/>
    <n v="45000"/>
    <n v="90000"/>
    <x v="0"/>
    <x v="0"/>
    <d v="1899-12-30T08:52:00"/>
  </r>
  <r>
    <x v="8"/>
    <s v=" Chè đậu đen "/>
    <x v="1"/>
    <n v="4"/>
    <n v="15000"/>
    <n v="60000"/>
    <x v="0"/>
    <x v="0"/>
    <d v="1899-12-30T07:24:00"/>
  </r>
  <r>
    <x v="5"/>
    <s v=" Bánh flan "/>
    <x v="1"/>
    <n v="3"/>
    <n v="18000"/>
    <n v="54000"/>
    <x v="1"/>
    <x v="0"/>
    <d v="1899-12-30T17:51:00"/>
  </r>
  <r>
    <x v="9"/>
    <s v=" Nem rán "/>
    <x v="3"/>
    <n v="1"/>
    <n v="25000"/>
    <n v="25000"/>
    <x v="1"/>
    <x v="0"/>
    <d v="1899-12-30T21:45:00"/>
  </r>
  <r>
    <x v="10"/>
    <s v=" Cơm rang dưa bò "/>
    <x v="0"/>
    <n v="1"/>
    <n v="45000"/>
    <n v="45000"/>
    <x v="1"/>
    <x v="1"/>
    <d v="1899-12-30T19:36:00"/>
  </r>
  <r>
    <x v="11"/>
    <s v=" Nước ép dưa hấu "/>
    <x v="2"/>
    <n v="2"/>
    <n v="25000"/>
    <n v="50000"/>
    <x v="1"/>
    <x v="1"/>
    <d v="1899-12-30T18:49:00"/>
  </r>
  <r>
    <x v="12"/>
    <s v=" Kem dừa "/>
    <x v="1"/>
    <n v="3"/>
    <n v="20000"/>
    <n v="60000"/>
    <x v="1"/>
    <x v="0"/>
    <d v="1899-12-30T17:01:00"/>
  </r>
  <r>
    <x v="13"/>
    <s v=" Nem rán "/>
    <x v="3"/>
    <n v="3"/>
    <n v="25000"/>
    <n v="75000"/>
    <x v="0"/>
    <x v="0"/>
    <d v="1899-12-30T08:41:00"/>
  </r>
  <r>
    <x v="8"/>
    <s v=" Chè đậu đen "/>
    <x v="1"/>
    <n v="1"/>
    <n v="15000"/>
    <n v="15000"/>
    <x v="0"/>
    <x v="0"/>
    <d v="1899-12-30T08:23:00"/>
  </r>
  <r>
    <x v="4"/>
    <s v=" Chè khúc bạch "/>
    <x v="1"/>
    <n v="5"/>
    <n v="22000"/>
    <n v="110000"/>
    <x v="1"/>
    <x v="0"/>
    <d v="1899-12-30T17:42:00"/>
  </r>
  <r>
    <x v="3"/>
    <s v=" Trà chanh "/>
    <x v="2"/>
    <n v="5"/>
    <n v="15000"/>
    <n v="75000"/>
    <x v="0"/>
    <x v="1"/>
    <d v="1899-12-30T12:09:00"/>
  </r>
  <r>
    <x v="7"/>
    <s v=" Trà chanh "/>
    <x v="2"/>
    <n v="2"/>
    <n v="15000"/>
    <n v="30000"/>
    <x v="0"/>
    <x v="1"/>
    <d v="1899-12-30T11:53:00"/>
  </r>
  <r>
    <x v="9"/>
    <s v=" Mì xào hải sản "/>
    <x v="0"/>
    <n v="1"/>
    <n v="65000"/>
    <n v="65000"/>
    <x v="1"/>
    <x v="1"/>
    <d v="1899-12-30T19:33:00"/>
  </r>
  <r>
    <x v="3"/>
    <s v=" Rau muống xào tỏi "/>
    <x v="3"/>
    <n v="4"/>
    <n v="30000"/>
    <n v="120000"/>
    <x v="0"/>
    <x v="1"/>
    <d v="1899-12-30T11:00:00"/>
  </r>
  <r>
    <x v="14"/>
    <s v=" Nước ép dưa hấu "/>
    <x v="2"/>
    <n v="1"/>
    <n v="25000"/>
    <n v="25000"/>
    <x v="0"/>
    <x v="0"/>
    <d v="1899-12-30T10:52:00"/>
  </r>
  <r>
    <x v="4"/>
    <s v=" Mì xào hải sản "/>
    <x v="0"/>
    <n v="5"/>
    <n v="65000"/>
    <n v="325000"/>
    <x v="0"/>
    <x v="1"/>
    <d v="1899-12-30T12:15:00"/>
  </r>
  <r>
    <x v="2"/>
    <s v=" Gỏi cuốn tôm thịt "/>
    <x v="3"/>
    <n v="1"/>
    <n v="35000"/>
    <n v="35000"/>
    <x v="1"/>
    <x v="0"/>
    <d v="1899-12-30T21:07:00"/>
  </r>
  <r>
    <x v="12"/>
    <s v=" Mì xào hải sản "/>
    <x v="0"/>
    <n v="5"/>
    <n v="65000"/>
    <n v="325000"/>
    <x v="1"/>
    <x v="0"/>
    <d v="1899-12-30T21:35:00"/>
  </r>
  <r>
    <x v="11"/>
    <s v=" Nước ép dưa hấu "/>
    <x v="2"/>
    <n v="2"/>
    <n v="25000"/>
    <n v="50000"/>
    <x v="1"/>
    <x v="1"/>
    <d v="1899-12-30T18:05:00"/>
  </r>
  <r>
    <x v="5"/>
    <s v=" Gỏi cuốn tôm thịt "/>
    <x v="3"/>
    <n v="4"/>
    <n v="35000"/>
    <n v="140000"/>
    <x v="1"/>
    <x v="0"/>
    <d v="1899-12-30T21:29:00"/>
  </r>
  <r>
    <x v="11"/>
    <s v=" Chè đậu đen "/>
    <x v="1"/>
    <n v="3"/>
    <n v="15000"/>
    <n v="45000"/>
    <x v="1"/>
    <x v="0"/>
    <d v="1899-12-30T21:36:00"/>
  </r>
  <r>
    <x v="9"/>
    <s v=" Trà chanh "/>
    <x v="2"/>
    <n v="4"/>
    <n v="15000"/>
    <n v="60000"/>
    <x v="1"/>
    <x v="0"/>
    <d v="1899-12-30T21:09:00"/>
  </r>
  <r>
    <x v="11"/>
    <s v=" Trà chanh "/>
    <x v="2"/>
    <n v="3"/>
    <n v="15000"/>
    <n v="45000"/>
    <x v="0"/>
    <x v="1"/>
    <d v="1899-12-30T11:28:00"/>
  </r>
  <r>
    <x v="5"/>
    <s v=" Canh chua cá lóc "/>
    <x v="3"/>
    <n v="5"/>
    <n v="45000"/>
    <n v="225000"/>
    <x v="1"/>
    <x v="1"/>
    <d v="1899-12-30T18:07:00"/>
  </r>
  <r>
    <x v="15"/>
    <s v=" Nước ép dưa hấu "/>
    <x v="2"/>
    <n v="1"/>
    <n v="25000"/>
    <n v="25000"/>
    <x v="0"/>
    <x v="0"/>
    <d v="1899-12-30T10:51:00"/>
  </r>
  <r>
    <x v="13"/>
    <s v=" Bún bò Huế "/>
    <x v="0"/>
    <n v="3"/>
    <n v="55000"/>
    <n v="165000"/>
    <x v="1"/>
    <x v="0"/>
    <d v="1899-12-30T20:32:00"/>
  </r>
  <r>
    <x v="16"/>
    <s v=" Chè đậu đen "/>
    <x v="1"/>
    <n v="5"/>
    <n v="15000"/>
    <n v="75000"/>
    <x v="0"/>
    <x v="0"/>
    <d v="1899-12-30T08:09:00"/>
  </r>
  <r>
    <x v="7"/>
    <s v=" Rau muống xào tỏi "/>
    <x v="3"/>
    <n v="3"/>
    <n v="30000"/>
    <n v="90000"/>
    <x v="1"/>
    <x v="0"/>
    <d v="1899-12-30T20:33:00"/>
  </r>
  <r>
    <x v="10"/>
    <s v=" Trà đá "/>
    <x v="2"/>
    <n v="2"/>
    <n v="5000"/>
    <n v="10000"/>
    <x v="1"/>
    <x v="1"/>
    <d v="1899-12-30T19:42:00"/>
  </r>
  <r>
    <x v="17"/>
    <s v=" Cà phê sữa đá "/>
    <x v="2"/>
    <n v="4"/>
    <n v="20000"/>
    <n v="80000"/>
    <x v="0"/>
    <x v="0"/>
    <d v="1899-12-30T13:06:00"/>
  </r>
  <r>
    <x v="13"/>
    <s v=" Cơm gà Hải Nam "/>
    <x v="0"/>
    <n v="2"/>
    <n v="60000"/>
    <n v="120000"/>
    <x v="1"/>
    <x v="0"/>
    <d v="1899-12-30T17:07:00"/>
  </r>
  <r>
    <x v="16"/>
    <s v=" Nước cam tươi "/>
    <x v="2"/>
    <n v="3"/>
    <n v="25000"/>
    <n v="75000"/>
    <x v="0"/>
    <x v="1"/>
    <d v="1899-12-30T12:39:00"/>
  </r>
  <r>
    <x v="17"/>
    <s v=" Nước ép dưa hấu "/>
    <x v="2"/>
    <n v="5"/>
    <n v="25000"/>
    <n v="125000"/>
    <x v="1"/>
    <x v="1"/>
    <d v="1899-12-30T18:44:00"/>
  </r>
  <r>
    <x v="9"/>
    <s v=" Sinh tố bơ "/>
    <x v="2"/>
    <n v="3"/>
    <n v="30000"/>
    <n v="90000"/>
    <x v="1"/>
    <x v="1"/>
    <d v="1899-12-30T18:17:00"/>
  </r>
  <r>
    <x v="6"/>
    <s v=" Cơm chiên dương châu "/>
    <x v="0"/>
    <n v="5"/>
    <n v="50000"/>
    <n v="250000"/>
    <x v="1"/>
    <x v="0"/>
    <d v="1899-12-30T20:25:00"/>
  </r>
  <r>
    <x v="17"/>
    <s v=" Bánh cuốn nóng "/>
    <x v="0"/>
    <n v="4"/>
    <n v="35000"/>
    <n v="140000"/>
    <x v="0"/>
    <x v="1"/>
    <d v="1899-12-30T12:22:00"/>
  </r>
  <r>
    <x v="14"/>
    <s v=" Chè đậu đen "/>
    <x v="1"/>
    <n v="1"/>
    <n v="15000"/>
    <n v="15000"/>
    <x v="0"/>
    <x v="0"/>
    <d v="1899-12-30T07:26:00"/>
  </r>
  <r>
    <x v="9"/>
    <s v=" Nước cam tươi "/>
    <x v="2"/>
    <n v="4"/>
    <n v="25000"/>
    <n v="100000"/>
    <x v="1"/>
    <x v="1"/>
    <d v="1899-12-30T18:18:00"/>
  </r>
  <r>
    <x v="9"/>
    <s v=" Nem rán "/>
    <x v="3"/>
    <n v="5"/>
    <n v="25000"/>
    <n v="125000"/>
    <x v="1"/>
    <x v="0"/>
    <d v="1899-12-30T21:56:00"/>
  </r>
  <r>
    <x v="10"/>
    <s v=" Mì xào hải sản "/>
    <x v="0"/>
    <n v="4"/>
    <n v="65000"/>
    <n v="260000"/>
    <x v="0"/>
    <x v="0"/>
    <d v="1899-12-30T07:52:00"/>
  </r>
  <r>
    <x v="8"/>
    <s v=" Chè đậu đen "/>
    <x v="1"/>
    <n v="3"/>
    <n v="15000"/>
    <n v="45000"/>
    <x v="0"/>
    <x v="1"/>
    <d v="1899-12-30T11:57:00"/>
  </r>
  <r>
    <x v="5"/>
    <s v=" Canh chua cá lóc "/>
    <x v="3"/>
    <n v="2"/>
    <n v="45000"/>
    <n v="90000"/>
    <x v="0"/>
    <x v="0"/>
    <d v="1899-12-30T10:20:00"/>
  </r>
  <r>
    <x v="2"/>
    <s v=" Bánh flan "/>
    <x v="1"/>
    <n v="5"/>
    <n v="18000"/>
    <n v="90000"/>
    <x v="0"/>
    <x v="0"/>
    <d v="1899-12-30T13:23:00"/>
  </r>
  <r>
    <x v="3"/>
    <s v=" Bánh flan "/>
    <x v="1"/>
    <n v="1"/>
    <n v="18000"/>
    <n v="18000"/>
    <x v="0"/>
    <x v="1"/>
    <d v="1899-12-30T12:05:00"/>
  </r>
  <r>
    <x v="14"/>
    <s v=" Rau muống xào tỏi "/>
    <x v="3"/>
    <n v="2"/>
    <n v="30000"/>
    <n v="60000"/>
    <x v="0"/>
    <x v="1"/>
    <d v="1899-12-30T12:40:00"/>
  </r>
  <r>
    <x v="3"/>
    <s v=" Trà chanh "/>
    <x v="2"/>
    <n v="4"/>
    <n v="15000"/>
    <n v="60000"/>
    <x v="0"/>
    <x v="1"/>
    <d v="1899-12-30T11:48:00"/>
  </r>
  <r>
    <x v="2"/>
    <s v=" Nem rán "/>
    <x v="3"/>
    <n v="4"/>
    <n v="25000"/>
    <n v="100000"/>
    <x v="0"/>
    <x v="1"/>
    <d v="1899-12-30T11:55:00"/>
  </r>
  <r>
    <x v="12"/>
    <s v=" Trà chanh "/>
    <x v="2"/>
    <n v="4"/>
    <n v="15000"/>
    <n v="60000"/>
    <x v="0"/>
    <x v="0"/>
    <d v="1899-12-30T10:16:00"/>
  </r>
  <r>
    <x v="15"/>
    <s v=" Cơm rang dưa bò "/>
    <x v="0"/>
    <n v="5"/>
    <n v="45000"/>
    <n v="225000"/>
    <x v="0"/>
    <x v="0"/>
    <d v="1899-12-30T10:56:00"/>
  </r>
  <r>
    <x v="18"/>
    <s v=" Nước cam tươi "/>
    <x v="2"/>
    <n v="4"/>
    <n v="25000"/>
    <n v="100000"/>
    <x v="0"/>
    <x v="0"/>
    <d v="1899-12-30T08:29:00"/>
  </r>
  <r>
    <x v="2"/>
    <s v=" Mì xào hải sản "/>
    <x v="0"/>
    <n v="2"/>
    <n v="65000"/>
    <n v="130000"/>
    <x v="1"/>
    <x v="0"/>
    <d v="1899-12-30T20:23:00"/>
  </r>
  <r>
    <x v="6"/>
    <s v=" Trà đá "/>
    <x v="2"/>
    <n v="5"/>
    <n v="5000"/>
    <n v="25000"/>
    <x v="0"/>
    <x v="0"/>
    <d v="1899-12-30T09:07:00"/>
  </r>
  <r>
    <x v="3"/>
    <s v=" Phở bò tái "/>
    <x v="0"/>
    <n v="3"/>
    <n v="55000"/>
    <n v="165000"/>
    <x v="1"/>
    <x v="1"/>
    <d v="1899-12-30T18:45:00"/>
  </r>
  <r>
    <x v="4"/>
    <s v=" Bánh cuốn nóng "/>
    <x v="0"/>
    <n v="2"/>
    <n v="35000"/>
    <n v="70000"/>
    <x v="1"/>
    <x v="0"/>
    <d v="1899-12-30T21:55:00"/>
  </r>
  <r>
    <x v="14"/>
    <s v=" Trà đá "/>
    <x v="2"/>
    <n v="2"/>
    <n v="5000"/>
    <n v="10000"/>
    <x v="1"/>
    <x v="0"/>
    <d v="1899-12-30T20:35:00"/>
  </r>
  <r>
    <x v="0"/>
    <s v=" Gỏi cuốn tôm thịt "/>
    <x v="3"/>
    <n v="5"/>
    <n v="35000"/>
    <n v="175000"/>
    <x v="0"/>
    <x v="1"/>
    <d v="1899-12-30T12:10:00"/>
  </r>
  <r>
    <x v="0"/>
    <s v=" Gỏi cuốn tôm thịt "/>
    <x v="3"/>
    <n v="2"/>
    <n v="35000"/>
    <n v="70000"/>
    <x v="1"/>
    <x v="1"/>
    <d v="1899-12-30T19:52:00"/>
  </r>
  <r>
    <x v="17"/>
    <s v=" Cơm chiên dương châu "/>
    <x v="0"/>
    <n v="3"/>
    <n v="50000"/>
    <n v="150000"/>
    <x v="1"/>
    <x v="0"/>
    <d v="1899-12-30T20:29:00"/>
  </r>
  <r>
    <x v="5"/>
    <s v=" Cà phê sữa đá "/>
    <x v="2"/>
    <n v="3"/>
    <n v="20000"/>
    <n v="60000"/>
    <x v="0"/>
    <x v="0"/>
    <d v="1899-12-30T10:32:00"/>
  </r>
  <r>
    <x v="0"/>
    <s v=" Gỏi cuốn tôm thịt "/>
    <x v="3"/>
    <n v="3"/>
    <n v="35000"/>
    <n v="105000"/>
    <x v="0"/>
    <x v="0"/>
    <d v="1899-12-30T09:29:00"/>
  </r>
  <r>
    <x v="0"/>
    <s v=" Mì xào hải sản "/>
    <x v="0"/>
    <n v="5"/>
    <n v="65000"/>
    <n v="325000"/>
    <x v="0"/>
    <x v="0"/>
    <d v="1899-12-30T10:33:00"/>
  </r>
  <r>
    <x v="16"/>
    <s v=" Đậu phụ chiên "/>
    <x v="3"/>
    <n v="3"/>
    <n v="20000"/>
    <n v="60000"/>
    <x v="1"/>
    <x v="0"/>
    <d v="1899-12-30T17:21:00"/>
  </r>
  <r>
    <x v="1"/>
    <s v=" Cơm gà Hải Nam "/>
    <x v="0"/>
    <n v="4"/>
    <n v="60000"/>
    <n v="240000"/>
    <x v="1"/>
    <x v="1"/>
    <d v="1899-12-30T18:53:00"/>
  </r>
  <r>
    <x v="14"/>
    <s v=" Nước cam tươi "/>
    <x v="2"/>
    <n v="3"/>
    <n v="25000"/>
    <n v="75000"/>
    <x v="1"/>
    <x v="0"/>
    <d v="1899-12-30T17:22:00"/>
  </r>
  <r>
    <x v="0"/>
    <s v=" Chè khúc bạch "/>
    <x v="1"/>
    <n v="3"/>
    <n v="22000"/>
    <n v="66000"/>
    <x v="1"/>
    <x v="0"/>
    <d v="1899-12-30T17:20:00"/>
  </r>
  <r>
    <x v="8"/>
    <s v=" Nước cam tươi "/>
    <x v="2"/>
    <n v="5"/>
    <n v="25000"/>
    <n v="125000"/>
    <x v="1"/>
    <x v="0"/>
    <d v="1899-12-30T21:30:00"/>
  </r>
  <r>
    <x v="0"/>
    <s v=" Bánh cuốn nóng "/>
    <x v="0"/>
    <n v="4"/>
    <n v="35000"/>
    <n v="140000"/>
    <x v="1"/>
    <x v="0"/>
    <d v="1899-12-30T21:25:00"/>
  </r>
  <r>
    <x v="2"/>
    <s v=" Cà phê sữa đá "/>
    <x v="2"/>
    <n v="3"/>
    <n v="20000"/>
    <n v="60000"/>
    <x v="1"/>
    <x v="0"/>
    <d v="1899-12-30T17:50:00"/>
  </r>
  <r>
    <x v="8"/>
    <s v=" Chè khúc bạch "/>
    <x v="1"/>
    <n v="3"/>
    <n v="22000"/>
    <n v="66000"/>
    <x v="0"/>
    <x v="0"/>
    <d v="1899-12-30T10:29:00"/>
  </r>
  <r>
    <x v="9"/>
    <s v=" Chè khúc bạch "/>
    <x v="1"/>
    <n v="4"/>
    <n v="22000"/>
    <n v="88000"/>
    <x v="0"/>
    <x v="0"/>
    <d v="1899-12-30T08:00:00"/>
  </r>
  <r>
    <x v="19"/>
    <s v=" Bún chả Hà Nội "/>
    <x v="0"/>
    <n v="5"/>
    <n v="50000"/>
    <n v="250000"/>
    <x v="1"/>
    <x v="1"/>
    <d v="1899-12-30T18:29:00"/>
  </r>
  <r>
    <x v="17"/>
    <s v=" Đậu phụ chiên "/>
    <x v="3"/>
    <n v="3"/>
    <n v="20000"/>
    <n v="60000"/>
    <x v="0"/>
    <x v="1"/>
    <d v="1899-12-30T12:28:00"/>
  </r>
  <r>
    <x v="17"/>
    <s v=" Cơm chiên dương châu "/>
    <x v="0"/>
    <n v="4"/>
    <n v="50000"/>
    <n v="200000"/>
    <x v="1"/>
    <x v="0"/>
    <d v="1899-12-30T21:02:00"/>
  </r>
  <r>
    <x v="13"/>
    <s v=" Bánh flan "/>
    <x v="1"/>
    <n v="1"/>
    <n v="18000"/>
    <n v="18000"/>
    <x v="0"/>
    <x v="1"/>
    <d v="1899-12-30T12:02:00"/>
  </r>
  <r>
    <x v="16"/>
    <s v=" Sinh tố bơ "/>
    <x v="2"/>
    <n v="3"/>
    <n v="30000"/>
    <n v="90000"/>
    <x v="1"/>
    <x v="0"/>
    <d v="1899-12-30T20:37:00"/>
  </r>
  <r>
    <x v="0"/>
    <s v=" Phở bò tái "/>
    <x v="0"/>
    <n v="3"/>
    <n v="55000"/>
    <n v="165000"/>
    <x v="1"/>
    <x v="0"/>
    <d v="1899-12-30T20:57:00"/>
  </r>
  <r>
    <x v="4"/>
    <s v=" Nước cam tươi "/>
    <x v="2"/>
    <n v="3"/>
    <n v="25000"/>
    <n v="75000"/>
    <x v="0"/>
    <x v="0"/>
    <d v="1899-12-30T07:04:00"/>
  </r>
  <r>
    <x v="18"/>
    <s v=" Bánh flan "/>
    <x v="1"/>
    <n v="1"/>
    <n v="18000"/>
    <n v="18000"/>
    <x v="0"/>
    <x v="0"/>
    <d v="1899-12-30T07:03:00"/>
  </r>
  <r>
    <x v="2"/>
    <s v=" Cà phê sữa đá "/>
    <x v="2"/>
    <n v="4"/>
    <n v="20000"/>
    <n v="80000"/>
    <x v="0"/>
    <x v="0"/>
    <d v="1899-12-30T08:03:00"/>
  </r>
  <r>
    <x v="17"/>
    <s v=" Rau muống xào tỏi "/>
    <x v="3"/>
    <n v="4"/>
    <n v="30000"/>
    <n v="120000"/>
    <x v="1"/>
    <x v="1"/>
    <d v="1899-12-30T18:07:00"/>
  </r>
  <r>
    <x v="13"/>
    <s v=" Kem dừa "/>
    <x v="1"/>
    <n v="1"/>
    <n v="20000"/>
    <n v="20000"/>
    <x v="0"/>
    <x v="0"/>
    <d v="1899-12-30T10:59:00"/>
  </r>
  <r>
    <x v="19"/>
    <s v=" Cơm gà Hải Nam "/>
    <x v="0"/>
    <n v="1"/>
    <n v="60000"/>
    <n v="60000"/>
    <x v="0"/>
    <x v="1"/>
    <d v="1899-12-30T11:14:00"/>
  </r>
  <r>
    <x v="16"/>
    <s v=" Trà đá "/>
    <x v="2"/>
    <n v="3"/>
    <n v="5000"/>
    <n v="15000"/>
    <x v="0"/>
    <x v="0"/>
    <d v="1899-12-30T09:11:00"/>
  </r>
  <r>
    <x v="16"/>
    <s v=" Canh chua cá lóc "/>
    <x v="3"/>
    <n v="3"/>
    <n v="45000"/>
    <n v="135000"/>
    <x v="0"/>
    <x v="0"/>
    <d v="1899-12-30T08:23:00"/>
  </r>
  <r>
    <x v="12"/>
    <s v=" Bún bò Huế "/>
    <x v="0"/>
    <n v="4"/>
    <n v="55000"/>
    <n v="220000"/>
    <x v="0"/>
    <x v="0"/>
    <d v="1899-12-30T08:33:00"/>
  </r>
  <r>
    <x v="14"/>
    <s v=" Bún chả Hà Nội "/>
    <x v="0"/>
    <n v="1"/>
    <n v="50000"/>
    <n v="50000"/>
    <x v="0"/>
    <x v="0"/>
    <d v="1899-12-30T08:35:00"/>
  </r>
  <r>
    <x v="4"/>
    <s v=" Phở bò tái "/>
    <x v="0"/>
    <n v="5"/>
    <n v="55000"/>
    <n v="275000"/>
    <x v="0"/>
    <x v="0"/>
    <d v="1899-12-30T07:44:00"/>
  </r>
  <r>
    <x v="14"/>
    <s v=" Trà chanh "/>
    <x v="2"/>
    <n v="1"/>
    <n v="15000"/>
    <n v="15000"/>
    <x v="1"/>
    <x v="0"/>
    <d v="1899-12-30T20:19:00"/>
  </r>
  <r>
    <x v="15"/>
    <s v=" Cơm rang dưa bò "/>
    <x v="0"/>
    <n v="2"/>
    <n v="45000"/>
    <n v="90000"/>
    <x v="1"/>
    <x v="0"/>
    <d v="1899-12-30T20:10:00"/>
  </r>
  <r>
    <x v="14"/>
    <s v=" Bún chả Hà Nội "/>
    <x v="0"/>
    <n v="3"/>
    <n v="50000"/>
    <n v="150000"/>
    <x v="1"/>
    <x v="1"/>
    <d v="1899-12-30T19:03:00"/>
  </r>
  <r>
    <x v="9"/>
    <s v=" Nước ép dưa hấu "/>
    <x v="2"/>
    <n v="4"/>
    <n v="25000"/>
    <n v="100000"/>
    <x v="1"/>
    <x v="0"/>
    <d v="1899-12-30T20:32:00"/>
  </r>
  <r>
    <x v="5"/>
    <s v=" Cơm chiên dương châu "/>
    <x v="0"/>
    <n v="3"/>
    <n v="50000"/>
    <n v="150000"/>
    <x v="1"/>
    <x v="1"/>
    <d v="1899-12-30T18:22:00"/>
  </r>
  <r>
    <x v="6"/>
    <s v=" Cơm chiên dương châu "/>
    <x v="0"/>
    <n v="4"/>
    <n v="50000"/>
    <n v="200000"/>
    <x v="0"/>
    <x v="0"/>
    <d v="1899-12-30T08:06:00"/>
  </r>
  <r>
    <x v="10"/>
    <s v=" Trà chanh "/>
    <x v="2"/>
    <n v="3"/>
    <n v="15000"/>
    <n v="45000"/>
    <x v="0"/>
    <x v="0"/>
    <d v="1899-12-30T13:02:00"/>
  </r>
  <r>
    <x v="3"/>
    <s v=" Nước cam tươi "/>
    <x v="2"/>
    <n v="1"/>
    <n v="25000"/>
    <n v="25000"/>
    <x v="0"/>
    <x v="0"/>
    <d v="1899-12-30T07:47:00"/>
  </r>
  <r>
    <x v="17"/>
    <s v=" Trà đá "/>
    <x v="2"/>
    <n v="2"/>
    <n v="5000"/>
    <n v="10000"/>
    <x v="0"/>
    <x v="0"/>
    <d v="1899-12-30T09:03:00"/>
  </r>
  <r>
    <x v="19"/>
    <s v=" Trà đá "/>
    <x v="2"/>
    <n v="4"/>
    <n v="5000"/>
    <n v="20000"/>
    <x v="0"/>
    <x v="0"/>
    <d v="1899-12-30T07:43:00"/>
  </r>
  <r>
    <x v="11"/>
    <s v=" Bún bò Huế "/>
    <x v="0"/>
    <n v="4"/>
    <n v="55000"/>
    <n v="220000"/>
    <x v="1"/>
    <x v="0"/>
    <d v="1899-12-30T21:01:00"/>
  </r>
  <r>
    <x v="10"/>
    <s v=" Canh chua cá lóc "/>
    <x v="3"/>
    <n v="4"/>
    <n v="45000"/>
    <n v="180000"/>
    <x v="0"/>
    <x v="0"/>
    <d v="1899-12-30T10:45:00"/>
  </r>
  <r>
    <x v="19"/>
    <s v=" Bánh cuốn nóng "/>
    <x v="0"/>
    <n v="5"/>
    <n v="35000"/>
    <n v="175000"/>
    <x v="0"/>
    <x v="1"/>
    <d v="1899-12-30T11:35:00"/>
  </r>
  <r>
    <x v="14"/>
    <s v=" Mì xào hải sản "/>
    <x v="0"/>
    <n v="3"/>
    <n v="65000"/>
    <n v="195000"/>
    <x v="1"/>
    <x v="0"/>
    <d v="1899-12-30T17:34:00"/>
  </r>
  <r>
    <x v="11"/>
    <s v=" Rau muống xào tỏi "/>
    <x v="3"/>
    <n v="1"/>
    <n v="30000"/>
    <n v="30000"/>
    <x v="1"/>
    <x v="1"/>
    <d v="1899-12-30T18:25:00"/>
  </r>
  <r>
    <x v="5"/>
    <s v=" Nem rán "/>
    <x v="3"/>
    <n v="2"/>
    <n v="25000"/>
    <n v="50000"/>
    <x v="0"/>
    <x v="0"/>
    <d v="1899-12-30T07:27:00"/>
  </r>
  <r>
    <x v="11"/>
    <s v=" Cơm gà Hải Nam "/>
    <x v="0"/>
    <n v="2"/>
    <n v="60000"/>
    <n v="120000"/>
    <x v="0"/>
    <x v="0"/>
    <d v="1899-12-30T10:09:00"/>
  </r>
  <r>
    <x v="3"/>
    <s v=" Rau muống xào tỏi "/>
    <x v="3"/>
    <n v="4"/>
    <n v="30000"/>
    <n v="120000"/>
    <x v="0"/>
    <x v="0"/>
    <d v="1899-12-30T07:30:00"/>
  </r>
  <r>
    <x v="17"/>
    <s v=" Sinh tố bơ "/>
    <x v="2"/>
    <n v="1"/>
    <n v="30000"/>
    <n v="30000"/>
    <x v="1"/>
    <x v="0"/>
    <d v="1899-12-30T21:41:00"/>
  </r>
  <r>
    <x v="7"/>
    <s v=" Mì xào hải sản "/>
    <x v="0"/>
    <n v="5"/>
    <n v="65000"/>
    <n v="325000"/>
    <x v="0"/>
    <x v="0"/>
    <d v="1899-12-30T10:55:00"/>
  </r>
  <r>
    <x v="19"/>
    <s v=" Nước cam tươi "/>
    <x v="2"/>
    <n v="4"/>
    <n v="25000"/>
    <n v="100000"/>
    <x v="1"/>
    <x v="1"/>
    <d v="1899-12-30T19:18:00"/>
  </r>
  <r>
    <x v="2"/>
    <s v=" Nem rán "/>
    <x v="3"/>
    <n v="2"/>
    <n v="25000"/>
    <n v="50000"/>
    <x v="0"/>
    <x v="0"/>
    <d v="1899-12-30T07:54:00"/>
  </r>
  <r>
    <x v="15"/>
    <s v=" Cơm rang dưa bò "/>
    <x v="0"/>
    <n v="3"/>
    <n v="45000"/>
    <n v="135000"/>
    <x v="1"/>
    <x v="1"/>
    <d v="1899-12-30T18:40:00"/>
  </r>
  <r>
    <x v="11"/>
    <s v=" Nước ép dưa hấu "/>
    <x v="2"/>
    <n v="2"/>
    <n v="25000"/>
    <n v="50000"/>
    <x v="1"/>
    <x v="1"/>
    <d v="1899-12-30T19:21:00"/>
  </r>
  <r>
    <x v="13"/>
    <s v=" Trà chanh "/>
    <x v="2"/>
    <n v="1"/>
    <n v="15000"/>
    <n v="15000"/>
    <x v="0"/>
    <x v="0"/>
    <d v="1899-12-30T08:17:00"/>
  </r>
  <r>
    <x v="18"/>
    <s v=" Bún bò Huế "/>
    <x v="0"/>
    <n v="1"/>
    <n v="55000"/>
    <n v="55000"/>
    <x v="0"/>
    <x v="0"/>
    <d v="1899-12-30T07:13:00"/>
  </r>
  <r>
    <x v="5"/>
    <s v=" Phở bò tái "/>
    <x v="0"/>
    <n v="2"/>
    <n v="55000"/>
    <n v="110000"/>
    <x v="0"/>
    <x v="0"/>
    <d v="1899-12-30T09:09:00"/>
  </r>
  <r>
    <x v="18"/>
    <s v=" Rau muống xào tỏi "/>
    <x v="3"/>
    <n v="3"/>
    <n v="30000"/>
    <n v="90000"/>
    <x v="1"/>
    <x v="1"/>
    <d v="1899-12-30T18:23:00"/>
  </r>
  <r>
    <x v="6"/>
    <s v=" Chè đậu đen "/>
    <x v="1"/>
    <n v="1"/>
    <n v="15000"/>
    <n v="15000"/>
    <x v="0"/>
    <x v="0"/>
    <d v="1899-12-30T09:11:00"/>
  </r>
  <r>
    <x v="4"/>
    <s v=" Phở bò tái "/>
    <x v="0"/>
    <n v="3"/>
    <n v="55000"/>
    <n v="165000"/>
    <x v="0"/>
    <x v="0"/>
    <d v="1899-12-30T09:34:00"/>
  </r>
  <r>
    <x v="4"/>
    <s v=" Bánh cuốn nóng "/>
    <x v="0"/>
    <n v="4"/>
    <n v="35000"/>
    <n v="140000"/>
    <x v="1"/>
    <x v="1"/>
    <d v="1899-12-30T19:39:00"/>
  </r>
  <r>
    <x v="4"/>
    <s v=" Rau muống xào tỏi "/>
    <x v="3"/>
    <n v="4"/>
    <n v="30000"/>
    <n v="120000"/>
    <x v="1"/>
    <x v="1"/>
    <d v="1899-12-30T19:42:00"/>
  </r>
  <r>
    <x v="17"/>
    <s v=" Cơm gà Hải Nam "/>
    <x v="0"/>
    <n v="1"/>
    <n v="60000"/>
    <n v="60000"/>
    <x v="0"/>
    <x v="0"/>
    <d v="1899-12-30T09:09:00"/>
  </r>
  <r>
    <x v="13"/>
    <s v=" Mì xào hải sản "/>
    <x v="0"/>
    <n v="5"/>
    <n v="65000"/>
    <n v="325000"/>
    <x v="1"/>
    <x v="1"/>
    <d v="1899-12-30T18:53:00"/>
  </r>
  <r>
    <x v="7"/>
    <s v=" Mì xào hải sản "/>
    <x v="0"/>
    <n v="3"/>
    <n v="65000"/>
    <n v="195000"/>
    <x v="1"/>
    <x v="1"/>
    <d v="1899-12-30T18:08:00"/>
  </r>
  <r>
    <x v="9"/>
    <s v=" Kem dừa "/>
    <x v="1"/>
    <n v="1"/>
    <n v="20000"/>
    <n v="20000"/>
    <x v="0"/>
    <x v="0"/>
    <d v="1899-12-30T09:56:00"/>
  </r>
  <r>
    <x v="16"/>
    <s v=" Cơm gà Hải Nam "/>
    <x v="0"/>
    <n v="1"/>
    <n v="60000"/>
    <n v="60000"/>
    <x v="1"/>
    <x v="1"/>
    <d v="1899-12-30T18:20:00"/>
  </r>
  <r>
    <x v="1"/>
    <s v=" Chè đậu đen "/>
    <x v="1"/>
    <n v="3"/>
    <n v="15000"/>
    <n v="45000"/>
    <x v="0"/>
    <x v="0"/>
    <d v="1899-12-30T10:13:00"/>
  </r>
  <r>
    <x v="11"/>
    <s v=" Nem rán "/>
    <x v="3"/>
    <n v="5"/>
    <n v="25000"/>
    <n v="125000"/>
    <x v="0"/>
    <x v="1"/>
    <d v="1899-12-30T11:50:00"/>
  </r>
  <r>
    <x v="8"/>
    <s v=" Cà phê sữa đá "/>
    <x v="2"/>
    <n v="3"/>
    <n v="20000"/>
    <n v="60000"/>
    <x v="1"/>
    <x v="1"/>
    <d v="1899-12-30T19:52:00"/>
  </r>
  <r>
    <x v="3"/>
    <s v=" Nem rán "/>
    <x v="3"/>
    <n v="5"/>
    <n v="25000"/>
    <n v="125000"/>
    <x v="0"/>
    <x v="0"/>
    <d v="1899-12-30T07:10:00"/>
  </r>
  <r>
    <x v="9"/>
    <s v=" Bánh flan "/>
    <x v="1"/>
    <n v="1"/>
    <n v="18000"/>
    <n v="18000"/>
    <x v="0"/>
    <x v="1"/>
    <d v="1899-12-30T11:48:00"/>
  </r>
  <r>
    <x v="7"/>
    <s v=" Cơm rang dưa bò "/>
    <x v="0"/>
    <n v="4"/>
    <n v="45000"/>
    <n v="180000"/>
    <x v="0"/>
    <x v="1"/>
    <d v="1899-12-30T11:52:00"/>
  </r>
  <r>
    <x v="0"/>
    <s v=" Sinh tố bơ "/>
    <x v="2"/>
    <n v="2"/>
    <n v="30000"/>
    <n v="60000"/>
    <x v="1"/>
    <x v="1"/>
    <d v="1899-12-30T18:12:00"/>
  </r>
  <r>
    <x v="18"/>
    <s v=" Bánh flan "/>
    <x v="1"/>
    <n v="4"/>
    <n v="18000"/>
    <n v="72000"/>
    <x v="0"/>
    <x v="1"/>
    <d v="1899-12-30T11:43:00"/>
  </r>
  <r>
    <x v="7"/>
    <s v=" Kem dừa "/>
    <x v="1"/>
    <n v="4"/>
    <n v="20000"/>
    <n v="80000"/>
    <x v="0"/>
    <x v="0"/>
    <d v="1899-12-30T08:51:00"/>
  </r>
  <r>
    <x v="6"/>
    <s v=" Bánh flan "/>
    <x v="1"/>
    <n v="3"/>
    <n v="18000"/>
    <n v="54000"/>
    <x v="1"/>
    <x v="1"/>
    <d v="1899-12-30T18:23:00"/>
  </r>
  <r>
    <x v="1"/>
    <s v=" Sinh tố bơ "/>
    <x v="2"/>
    <n v="5"/>
    <n v="30000"/>
    <n v="150000"/>
    <x v="1"/>
    <x v="1"/>
    <d v="1899-12-30T18:21:00"/>
  </r>
  <r>
    <x v="12"/>
    <s v=" Bánh flan "/>
    <x v="1"/>
    <n v="3"/>
    <n v="18000"/>
    <n v="54000"/>
    <x v="0"/>
    <x v="1"/>
    <d v="1899-12-30T11:12:00"/>
  </r>
  <r>
    <x v="2"/>
    <s v=" Cơm chiên dương châu "/>
    <x v="0"/>
    <n v="1"/>
    <n v="50000"/>
    <n v="50000"/>
    <x v="0"/>
    <x v="0"/>
    <d v="1899-12-30T09:13:00"/>
  </r>
  <r>
    <x v="17"/>
    <s v=" Cà phê sữa đá "/>
    <x v="2"/>
    <n v="3"/>
    <n v="20000"/>
    <n v="60000"/>
    <x v="1"/>
    <x v="0"/>
    <d v="1899-12-30T17:34:00"/>
  </r>
  <r>
    <x v="0"/>
    <s v=" Phở bò tái "/>
    <x v="0"/>
    <n v="2"/>
    <n v="55000"/>
    <n v="110000"/>
    <x v="0"/>
    <x v="1"/>
    <d v="1899-12-30T12:51:00"/>
  </r>
  <r>
    <x v="2"/>
    <s v=" Chè đậu đen "/>
    <x v="1"/>
    <n v="3"/>
    <n v="15000"/>
    <n v="45000"/>
    <x v="0"/>
    <x v="1"/>
    <d v="1899-12-30T11:21:00"/>
  </r>
  <r>
    <x v="18"/>
    <s v=" Bún chả Hà Nội "/>
    <x v="0"/>
    <n v="1"/>
    <n v="50000"/>
    <n v="50000"/>
    <x v="1"/>
    <x v="0"/>
    <d v="1899-12-30T17:22:00"/>
  </r>
  <r>
    <x v="5"/>
    <s v=" Bún chả Hà Nội "/>
    <x v="0"/>
    <n v="4"/>
    <n v="50000"/>
    <n v="200000"/>
    <x v="0"/>
    <x v="1"/>
    <d v="1899-12-30T11:16:00"/>
  </r>
  <r>
    <x v="15"/>
    <s v=" Cà phê sữa đá "/>
    <x v="2"/>
    <n v="5"/>
    <n v="20000"/>
    <n v="100000"/>
    <x v="0"/>
    <x v="1"/>
    <d v="1899-12-30T12:05:00"/>
  </r>
  <r>
    <x v="3"/>
    <s v=" Canh chua cá lóc "/>
    <x v="3"/>
    <n v="2"/>
    <n v="45000"/>
    <n v="90000"/>
    <x v="0"/>
    <x v="1"/>
    <d v="1899-12-30T11:32:00"/>
  </r>
  <r>
    <x v="16"/>
    <s v=" Rau muống xào tỏi "/>
    <x v="3"/>
    <n v="4"/>
    <n v="30000"/>
    <n v="120000"/>
    <x v="0"/>
    <x v="1"/>
    <d v="1899-12-30T11:50:00"/>
  </r>
  <r>
    <x v="16"/>
    <s v=" Bánh flan "/>
    <x v="1"/>
    <n v="5"/>
    <n v="18000"/>
    <n v="90000"/>
    <x v="1"/>
    <x v="1"/>
    <d v="1899-12-30T18:12:00"/>
  </r>
  <r>
    <x v="12"/>
    <s v=" Cơm chiên dương châu "/>
    <x v="0"/>
    <n v="5"/>
    <n v="50000"/>
    <n v="250000"/>
    <x v="1"/>
    <x v="0"/>
    <d v="1899-12-30T17:16:00"/>
  </r>
  <r>
    <x v="1"/>
    <s v=" Cơm chiên dương châu "/>
    <x v="0"/>
    <n v="5"/>
    <n v="50000"/>
    <n v="250000"/>
    <x v="1"/>
    <x v="0"/>
    <d v="1899-12-30T17:12:00"/>
  </r>
  <r>
    <x v="18"/>
    <s v=" Canh chua cá lóc "/>
    <x v="3"/>
    <n v="4"/>
    <n v="45000"/>
    <n v="180000"/>
    <x v="1"/>
    <x v="0"/>
    <d v="1899-12-30T21:59:00"/>
  </r>
  <r>
    <x v="8"/>
    <s v=" Cà phê sữa đá "/>
    <x v="2"/>
    <n v="2"/>
    <n v="20000"/>
    <n v="40000"/>
    <x v="1"/>
    <x v="1"/>
    <d v="1899-12-30T19:41:00"/>
  </r>
  <r>
    <x v="16"/>
    <s v=" Canh chua cá lóc "/>
    <x v="3"/>
    <n v="1"/>
    <n v="45000"/>
    <n v="45000"/>
    <x v="0"/>
    <x v="1"/>
    <d v="1899-12-30T12:06:00"/>
  </r>
  <r>
    <x v="8"/>
    <s v=" Trà đá "/>
    <x v="2"/>
    <n v="3"/>
    <n v="5000"/>
    <n v="15000"/>
    <x v="1"/>
    <x v="0"/>
    <d v="1899-12-30T17:11:00"/>
  </r>
  <r>
    <x v="19"/>
    <s v=" Nem rán "/>
    <x v="3"/>
    <n v="3"/>
    <n v="25000"/>
    <n v="75000"/>
    <x v="1"/>
    <x v="0"/>
    <d v="1899-12-30T21:34:00"/>
  </r>
  <r>
    <x v="2"/>
    <s v=" Kem dừa "/>
    <x v="1"/>
    <n v="1"/>
    <n v="20000"/>
    <n v="20000"/>
    <x v="0"/>
    <x v="0"/>
    <d v="1899-12-30T10:14:00"/>
  </r>
  <r>
    <x v="3"/>
    <s v=" Trà đá "/>
    <x v="2"/>
    <n v="4"/>
    <n v="5000"/>
    <n v="20000"/>
    <x v="1"/>
    <x v="0"/>
    <d v="1899-12-30T20:32:00"/>
  </r>
  <r>
    <x v="18"/>
    <s v=" Trà chanh "/>
    <x v="2"/>
    <n v="1"/>
    <n v="15000"/>
    <n v="15000"/>
    <x v="1"/>
    <x v="1"/>
    <d v="1899-12-30T19:25:00"/>
  </r>
  <r>
    <x v="11"/>
    <s v=" Nước cam tươi "/>
    <x v="2"/>
    <n v="5"/>
    <n v="25000"/>
    <n v="125000"/>
    <x v="1"/>
    <x v="1"/>
    <d v="1899-12-30T18:55:00"/>
  </r>
  <r>
    <x v="1"/>
    <s v=" Cơm chiên dương châu "/>
    <x v="0"/>
    <n v="1"/>
    <n v="50000"/>
    <n v="50000"/>
    <x v="1"/>
    <x v="0"/>
    <d v="1899-12-30T17:38:00"/>
  </r>
  <r>
    <x v="6"/>
    <s v=" Bún chả Hà Nội "/>
    <x v="0"/>
    <n v="3"/>
    <n v="50000"/>
    <n v="150000"/>
    <x v="1"/>
    <x v="1"/>
    <d v="1899-12-30T19:08:00"/>
  </r>
  <r>
    <x v="13"/>
    <s v=" Canh chua cá lóc "/>
    <x v="3"/>
    <n v="1"/>
    <n v="45000"/>
    <n v="45000"/>
    <x v="1"/>
    <x v="1"/>
    <d v="1899-12-30T18:07:00"/>
  </r>
  <r>
    <x v="15"/>
    <s v=" Nem rán "/>
    <x v="3"/>
    <n v="1"/>
    <n v="25000"/>
    <n v="25000"/>
    <x v="0"/>
    <x v="1"/>
    <d v="1899-12-30T11:56:00"/>
  </r>
  <r>
    <x v="10"/>
    <s v=" Sinh tố bơ "/>
    <x v="2"/>
    <n v="1"/>
    <n v="30000"/>
    <n v="30000"/>
    <x v="1"/>
    <x v="1"/>
    <d v="1899-12-30T19:24:00"/>
  </r>
  <r>
    <x v="10"/>
    <s v=" Phở bò tái "/>
    <x v="0"/>
    <n v="4"/>
    <n v="55000"/>
    <n v="220000"/>
    <x v="0"/>
    <x v="1"/>
    <d v="1899-12-30T11:23:00"/>
  </r>
  <r>
    <x v="4"/>
    <s v=" Nước ép dưa hấu "/>
    <x v="2"/>
    <n v="1"/>
    <n v="25000"/>
    <n v="25000"/>
    <x v="1"/>
    <x v="0"/>
    <d v="1899-12-30T20:57:00"/>
  </r>
  <r>
    <x v="9"/>
    <s v=" Đậu phụ chiên "/>
    <x v="3"/>
    <n v="3"/>
    <n v="20000"/>
    <n v="60000"/>
    <x v="0"/>
    <x v="0"/>
    <d v="1899-12-30T08:13:00"/>
  </r>
  <r>
    <x v="15"/>
    <s v=" Bún bò Huế "/>
    <x v="0"/>
    <n v="1"/>
    <n v="55000"/>
    <n v="55000"/>
    <x v="1"/>
    <x v="0"/>
    <d v="1899-12-30T20:04:00"/>
  </r>
  <r>
    <x v="3"/>
    <s v=" Cơm gà Hải Nam "/>
    <x v="0"/>
    <n v="3"/>
    <n v="60000"/>
    <n v="180000"/>
    <x v="0"/>
    <x v="0"/>
    <d v="1899-12-30T13:31:00"/>
  </r>
  <r>
    <x v="8"/>
    <s v=" Nem rán "/>
    <x v="3"/>
    <n v="2"/>
    <n v="25000"/>
    <n v="50000"/>
    <x v="0"/>
    <x v="0"/>
    <d v="1899-12-30T13:48:00"/>
  </r>
  <r>
    <x v="12"/>
    <s v=" Nem rán "/>
    <x v="3"/>
    <n v="4"/>
    <n v="25000"/>
    <n v="100000"/>
    <x v="1"/>
    <x v="0"/>
    <d v="1899-12-30T21:15:00"/>
  </r>
  <r>
    <x v="6"/>
    <s v=" Gỏi cuốn tôm thịt "/>
    <x v="3"/>
    <n v="3"/>
    <n v="35000"/>
    <n v="105000"/>
    <x v="1"/>
    <x v="0"/>
    <d v="1899-12-30T21:49:00"/>
  </r>
  <r>
    <x v="17"/>
    <s v=" Cơm chiên dương châu "/>
    <x v="0"/>
    <n v="2"/>
    <n v="50000"/>
    <n v="100000"/>
    <x v="0"/>
    <x v="1"/>
    <d v="1899-12-30T12:11:00"/>
  </r>
  <r>
    <x v="11"/>
    <s v=" Cơm rang dưa bò "/>
    <x v="0"/>
    <n v="1"/>
    <n v="45000"/>
    <n v="45000"/>
    <x v="1"/>
    <x v="1"/>
    <d v="1899-12-30T18:34:00"/>
  </r>
  <r>
    <x v="13"/>
    <s v=" Bánh cuốn nóng "/>
    <x v="0"/>
    <n v="3"/>
    <n v="35000"/>
    <n v="105000"/>
    <x v="0"/>
    <x v="0"/>
    <d v="1899-12-30T10:07:00"/>
  </r>
  <r>
    <x v="15"/>
    <s v=" Bánh flan "/>
    <x v="1"/>
    <n v="1"/>
    <n v="18000"/>
    <n v="18000"/>
    <x v="1"/>
    <x v="0"/>
    <d v="1899-12-30T17:15:00"/>
  </r>
  <r>
    <x v="19"/>
    <s v=" Sinh tố bơ "/>
    <x v="2"/>
    <n v="4"/>
    <n v="30000"/>
    <n v="120000"/>
    <x v="0"/>
    <x v="1"/>
    <d v="1899-12-30T12:45:00"/>
  </r>
  <r>
    <x v="7"/>
    <s v=" Canh chua cá lóc "/>
    <x v="3"/>
    <n v="2"/>
    <n v="45000"/>
    <n v="90000"/>
    <x v="1"/>
    <x v="0"/>
    <d v="1899-12-30T20:46:00"/>
  </r>
  <r>
    <x v="2"/>
    <s v=" Nem rán "/>
    <x v="3"/>
    <n v="3"/>
    <n v="25000"/>
    <n v="75000"/>
    <x v="0"/>
    <x v="0"/>
    <d v="1899-12-30T08:02:00"/>
  </r>
  <r>
    <x v="13"/>
    <s v=" Bánh cuốn nóng "/>
    <x v="0"/>
    <n v="3"/>
    <n v="35000"/>
    <n v="105000"/>
    <x v="1"/>
    <x v="0"/>
    <d v="1899-12-30T21:06:00"/>
  </r>
  <r>
    <x v="1"/>
    <s v=" Trà chanh "/>
    <x v="2"/>
    <n v="1"/>
    <n v="15000"/>
    <n v="15000"/>
    <x v="1"/>
    <x v="1"/>
    <d v="1899-12-30T19:18:00"/>
  </r>
  <r>
    <x v="4"/>
    <s v=" Gỏi cuốn tôm thịt "/>
    <x v="3"/>
    <n v="2"/>
    <n v="35000"/>
    <n v="70000"/>
    <x v="0"/>
    <x v="1"/>
    <d v="1899-12-30T11:35:00"/>
  </r>
  <r>
    <x v="15"/>
    <s v=" Cà phê sữa đá "/>
    <x v="2"/>
    <n v="3"/>
    <n v="20000"/>
    <n v="60000"/>
    <x v="0"/>
    <x v="1"/>
    <d v="1899-12-30T12:23:00"/>
  </r>
  <r>
    <x v="16"/>
    <s v=" Bún bò Huế "/>
    <x v="0"/>
    <n v="5"/>
    <n v="55000"/>
    <n v="275000"/>
    <x v="0"/>
    <x v="0"/>
    <d v="1899-12-30T08:51:00"/>
  </r>
  <r>
    <x v="17"/>
    <s v=" Nước ép dưa hấu "/>
    <x v="2"/>
    <n v="3"/>
    <n v="25000"/>
    <n v="75000"/>
    <x v="0"/>
    <x v="0"/>
    <d v="1899-12-30T09:39:00"/>
  </r>
  <r>
    <x v="16"/>
    <s v=" Nem rán "/>
    <x v="3"/>
    <n v="1"/>
    <n v="25000"/>
    <n v="25000"/>
    <x v="1"/>
    <x v="0"/>
    <d v="1899-12-30T17:33:00"/>
  </r>
  <r>
    <x v="14"/>
    <s v=" Trà chanh "/>
    <x v="2"/>
    <n v="1"/>
    <n v="15000"/>
    <n v="15000"/>
    <x v="1"/>
    <x v="0"/>
    <d v="1899-12-30T20:59:00"/>
  </r>
  <r>
    <x v="7"/>
    <s v=" Kem dừa "/>
    <x v="1"/>
    <n v="4"/>
    <n v="20000"/>
    <n v="80000"/>
    <x v="1"/>
    <x v="0"/>
    <d v="1899-12-30T20:06:00"/>
  </r>
  <r>
    <x v="14"/>
    <s v=" Nước cam tươi "/>
    <x v="2"/>
    <n v="5"/>
    <n v="25000"/>
    <n v="125000"/>
    <x v="0"/>
    <x v="0"/>
    <d v="1899-12-30T10:11:00"/>
  </r>
  <r>
    <x v="16"/>
    <s v=" Chè khúc bạch "/>
    <x v="1"/>
    <n v="1"/>
    <n v="22000"/>
    <n v="22000"/>
    <x v="1"/>
    <x v="0"/>
    <d v="1899-12-30T20:17:00"/>
  </r>
  <r>
    <x v="15"/>
    <s v=" Cơm rang dưa bò "/>
    <x v="0"/>
    <n v="4"/>
    <n v="45000"/>
    <n v="180000"/>
    <x v="0"/>
    <x v="0"/>
    <d v="1899-12-30T13:42:00"/>
  </r>
  <r>
    <x v="18"/>
    <s v=" Kem dừa "/>
    <x v="1"/>
    <n v="4"/>
    <n v="20000"/>
    <n v="80000"/>
    <x v="1"/>
    <x v="0"/>
    <d v="1899-12-30T20:43:00"/>
  </r>
  <r>
    <x v="11"/>
    <s v=" Rau muống xào tỏi "/>
    <x v="3"/>
    <n v="5"/>
    <n v="30000"/>
    <n v="150000"/>
    <x v="1"/>
    <x v="0"/>
    <d v="1899-12-30T20:36:00"/>
  </r>
  <r>
    <x v="13"/>
    <s v=" Kem dừa "/>
    <x v="1"/>
    <n v="4"/>
    <n v="20000"/>
    <n v="80000"/>
    <x v="1"/>
    <x v="1"/>
    <d v="1899-12-30T19:11:00"/>
  </r>
  <r>
    <x v="15"/>
    <s v=" Nước ép dưa hấu "/>
    <x v="2"/>
    <n v="2"/>
    <n v="25000"/>
    <n v="50000"/>
    <x v="1"/>
    <x v="0"/>
    <d v="1899-12-30T17:12:00"/>
  </r>
  <r>
    <x v="11"/>
    <s v=" Chè đậu đen "/>
    <x v="1"/>
    <n v="4"/>
    <n v="15000"/>
    <n v="60000"/>
    <x v="0"/>
    <x v="1"/>
    <d v="1899-12-30T11:40:00"/>
  </r>
  <r>
    <x v="0"/>
    <s v=" Gỏi cuốn tôm thịt "/>
    <x v="3"/>
    <n v="2"/>
    <n v="35000"/>
    <n v="70000"/>
    <x v="1"/>
    <x v="1"/>
    <d v="1899-12-30T18:45:00"/>
  </r>
  <r>
    <x v="3"/>
    <s v=" Trà chanh "/>
    <x v="2"/>
    <n v="1"/>
    <n v="15000"/>
    <n v="15000"/>
    <x v="0"/>
    <x v="0"/>
    <d v="1899-12-30T09:50:00"/>
  </r>
  <r>
    <x v="10"/>
    <s v=" Kem dừa "/>
    <x v="1"/>
    <n v="5"/>
    <n v="20000"/>
    <n v="100000"/>
    <x v="1"/>
    <x v="0"/>
    <d v="1899-12-30T20:43:00"/>
  </r>
  <r>
    <x v="2"/>
    <s v=" Nước cam tươi "/>
    <x v="2"/>
    <n v="1"/>
    <n v="25000"/>
    <n v="25000"/>
    <x v="0"/>
    <x v="0"/>
    <d v="1899-12-30T13:14:00"/>
  </r>
  <r>
    <x v="8"/>
    <s v=" Gỏi cuốn tôm thịt "/>
    <x v="3"/>
    <n v="2"/>
    <n v="35000"/>
    <n v="70000"/>
    <x v="1"/>
    <x v="0"/>
    <d v="1899-12-30T17:16:00"/>
  </r>
  <r>
    <x v="18"/>
    <s v=" Sinh tố bơ "/>
    <x v="2"/>
    <n v="3"/>
    <n v="30000"/>
    <n v="90000"/>
    <x v="1"/>
    <x v="1"/>
    <d v="1899-12-30T18:42:00"/>
  </r>
  <r>
    <x v="18"/>
    <s v=" Rau muống xào tỏi "/>
    <x v="3"/>
    <n v="4"/>
    <n v="30000"/>
    <n v="120000"/>
    <x v="1"/>
    <x v="1"/>
    <d v="1899-12-30T19:28:00"/>
  </r>
  <r>
    <x v="3"/>
    <s v=" Chè đậu đen "/>
    <x v="1"/>
    <n v="2"/>
    <n v="15000"/>
    <n v="30000"/>
    <x v="0"/>
    <x v="0"/>
    <d v="1899-12-30T07:59:00"/>
  </r>
  <r>
    <x v="9"/>
    <s v=" Cà phê sữa đá "/>
    <x v="2"/>
    <n v="3"/>
    <n v="20000"/>
    <n v="60000"/>
    <x v="1"/>
    <x v="0"/>
    <d v="1899-12-30T17:15:00"/>
  </r>
  <r>
    <x v="16"/>
    <s v=" Trà đá "/>
    <x v="2"/>
    <n v="4"/>
    <n v="5000"/>
    <n v="20000"/>
    <x v="0"/>
    <x v="0"/>
    <d v="1899-12-30T09:07:00"/>
  </r>
  <r>
    <x v="10"/>
    <s v=" Sinh tố bơ "/>
    <x v="2"/>
    <n v="3"/>
    <n v="30000"/>
    <n v="90000"/>
    <x v="0"/>
    <x v="0"/>
    <d v="1899-12-30T13:32:00"/>
  </r>
  <r>
    <x v="16"/>
    <s v=" Cơm chiên dương châu "/>
    <x v="0"/>
    <n v="3"/>
    <n v="50000"/>
    <n v="150000"/>
    <x v="0"/>
    <x v="1"/>
    <d v="1899-12-30T11:14:00"/>
  </r>
  <r>
    <x v="10"/>
    <s v=" Cà phê sữa đá "/>
    <x v="2"/>
    <n v="3"/>
    <n v="20000"/>
    <n v="60000"/>
    <x v="1"/>
    <x v="0"/>
    <d v="1899-12-30T21:19:00"/>
  </r>
  <r>
    <x v="8"/>
    <s v=" Nước ép dưa hấu "/>
    <x v="2"/>
    <n v="4"/>
    <n v="25000"/>
    <n v="100000"/>
    <x v="0"/>
    <x v="0"/>
    <d v="1899-12-30T13:47:00"/>
  </r>
  <r>
    <x v="14"/>
    <s v=" Cà phê sữa đá "/>
    <x v="2"/>
    <n v="3"/>
    <n v="20000"/>
    <n v="60000"/>
    <x v="1"/>
    <x v="0"/>
    <d v="1899-12-30T20:42:00"/>
  </r>
  <r>
    <x v="8"/>
    <s v=" Trà đá "/>
    <x v="2"/>
    <n v="5"/>
    <n v="5000"/>
    <n v="25000"/>
    <x v="0"/>
    <x v="0"/>
    <d v="1899-12-30T10:12:00"/>
  </r>
  <r>
    <x v="12"/>
    <s v=" Phở bò tái "/>
    <x v="0"/>
    <n v="3"/>
    <n v="55000"/>
    <n v="165000"/>
    <x v="1"/>
    <x v="0"/>
    <d v="1899-12-30T21:11:00"/>
  </r>
  <r>
    <x v="19"/>
    <s v=" Nước cam tươi "/>
    <x v="2"/>
    <n v="1"/>
    <n v="25000"/>
    <n v="25000"/>
    <x v="1"/>
    <x v="0"/>
    <d v="1899-12-30T17:32:00"/>
  </r>
  <r>
    <x v="10"/>
    <s v=" Chè đậu đen "/>
    <x v="1"/>
    <n v="4"/>
    <n v="15000"/>
    <n v="60000"/>
    <x v="0"/>
    <x v="1"/>
    <d v="1899-12-30T11:04:00"/>
  </r>
  <r>
    <x v="7"/>
    <s v=" Cơm rang dưa bò "/>
    <x v="0"/>
    <n v="2"/>
    <n v="45000"/>
    <n v="90000"/>
    <x v="1"/>
    <x v="0"/>
    <d v="1899-12-30T20:16:00"/>
  </r>
  <r>
    <x v="11"/>
    <s v=" Mì xào hải sản "/>
    <x v="0"/>
    <n v="3"/>
    <n v="65000"/>
    <n v="195000"/>
    <x v="0"/>
    <x v="1"/>
    <d v="1899-12-30T12:51:00"/>
  </r>
  <r>
    <x v="6"/>
    <s v=" Nem rán "/>
    <x v="3"/>
    <n v="4"/>
    <n v="25000"/>
    <n v="100000"/>
    <x v="0"/>
    <x v="1"/>
    <d v="1899-12-30T11:11:00"/>
  </r>
  <r>
    <x v="15"/>
    <s v=" Nước cam tươi "/>
    <x v="2"/>
    <n v="5"/>
    <n v="25000"/>
    <n v="125000"/>
    <x v="1"/>
    <x v="0"/>
    <d v="1899-12-30T21:11:00"/>
  </r>
  <r>
    <x v="3"/>
    <s v=" Nước ép dưa hấu "/>
    <x v="2"/>
    <n v="3"/>
    <n v="25000"/>
    <n v="75000"/>
    <x v="0"/>
    <x v="0"/>
    <d v="1899-12-30T13:15:00"/>
  </r>
  <r>
    <x v="17"/>
    <s v=" Bánh flan "/>
    <x v="1"/>
    <n v="2"/>
    <n v="18000"/>
    <n v="36000"/>
    <x v="1"/>
    <x v="1"/>
    <d v="1899-12-30T18:41:00"/>
  </r>
  <r>
    <x v="9"/>
    <s v=" Nước cam tươi "/>
    <x v="2"/>
    <n v="1"/>
    <n v="25000"/>
    <n v="25000"/>
    <x v="0"/>
    <x v="1"/>
    <d v="1899-12-30T12:48:00"/>
  </r>
  <r>
    <x v="11"/>
    <s v=" Bún chả Hà Nội "/>
    <x v="0"/>
    <n v="1"/>
    <n v="50000"/>
    <n v="50000"/>
    <x v="0"/>
    <x v="1"/>
    <d v="1899-12-30T12:05:00"/>
  </r>
  <r>
    <x v="19"/>
    <s v=" Gỏi cuốn tôm thịt "/>
    <x v="3"/>
    <n v="5"/>
    <n v="35000"/>
    <n v="175000"/>
    <x v="0"/>
    <x v="1"/>
    <d v="1899-12-30T11:01:00"/>
  </r>
  <r>
    <x v="9"/>
    <s v=" Bánh flan "/>
    <x v="1"/>
    <n v="3"/>
    <n v="18000"/>
    <n v="54000"/>
    <x v="0"/>
    <x v="0"/>
    <d v="1899-12-30T09:58:00"/>
  </r>
  <r>
    <x v="6"/>
    <s v=" Canh chua cá lóc "/>
    <x v="3"/>
    <n v="5"/>
    <n v="45000"/>
    <n v="225000"/>
    <x v="0"/>
    <x v="0"/>
    <d v="1899-12-30T13:12:00"/>
  </r>
  <r>
    <x v="11"/>
    <s v=" Bún bò Huế "/>
    <x v="0"/>
    <n v="5"/>
    <n v="55000"/>
    <n v="275000"/>
    <x v="0"/>
    <x v="0"/>
    <d v="1899-12-30T09:32:00"/>
  </r>
  <r>
    <x v="10"/>
    <s v=" Phở bò tái "/>
    <x v="0"/>
    <n v="4"/>
    <n v="55000"/>
    <n v="220000"/>
    <x v="0"/>
    <x v="1"/>
    <d v="1899-12-30T12:58:00"/>
  </r>
  <r>
    <x v="4"/>
    <s v=" Bánh cuốn nóng "/>
    <x v="0"/>
    <n v="2"/>
    <n v="35000"/>
    <n v="70000"/>
    <x v="1"/>
    <x v="0"/>
    <d v="1899-12-30T21:58:00"/>
  </r>
  <r>
    <x v="19"/>
    <s v=" Canh chua cá lóc "/>
    <x v="3"/>
    <n v="2"/>
    <n v="45000"/>
    <n v="90000"/>
    <x v="1"/>
    <x v="0"/>
    <d v="1899-12-30T21:26:00"/>
  </r>
  <r>
    <x v="8"/>
    <s v=" Nước cam tươi "/>
    <x v="2"/>
    <n v="3"/>
    <n v="25000"/>
    <n v="75000"/>
    <x v="0"/>
    <x v="0"/>
    <d v="1899-12-30T07:54:00"/>
  </r>
  <r>
    <x v="10"/>
    <s v=" Cơm chiên dương châu "/>
    <x v="0"/>
    <n v="4"/>
    <n v="50000"/>
    <n v="200000"/>
    <x v="0"/>
    <x v="0"/>
    <d v="1899-12-30T10:00:00"/>
  </r>
  <r>
    <x v="9"/>
    <s v=" Bún chả Hà Nội "/>
    <x v="0"/>
    <n v="2"/>
    <n v="50000"/>
    <n v="100000"/>
    <x v="1"/>
    <x v="1"/>
    <d v="1899-12-30T18:58:00"/>
  </r>
  <r>
    <x v="15"/>
    <s v=" Bún bò Huế "/>
    <x v="0"/>
    <n v="5"/>
    <n v="55000"/>
    <n v="275000"/>
    <x v="0"/>
    <x v="0"/>
    <d v="1899-12-30T09:10:00"/>
  </r>
  <r>
    <x v="2"/>
    <s v=" Nước ép dưa hấu "/>
    <x v="2"/>
    <n v="3"/>
    <n v="25000"/>
    <n v="75000"/>
    <x v="0"/>
    <x v="1"/>
    <d v="1899-12-30T12:03:00"/>
  </r>
  <r>
    <x v="6"/>
    <s v=" Nem rán "/>
    <x v="3"/>
    <n v="3"/>
    <n v="25000"/>
    <n v="75000"/>
    <x v="0"/>
    <x v="0"/>
    <d v="1899-12-30T08:28:00"/>
  </r>
  <r>
    <x v="8"/>
    <s v=" Nem rán "/>
    <x v="3"/>
    <n v="5"/>
    <n v="25000"/>
    <n v="125000"/>
    <x v="1"/>
    <x v="0"/>
    <d v="1899-12-30T17:01:00"/>
  </r>
  <r>
    <x v="9"/>
    <s v=" Chè khúc bạch "/>
    <x v="1"/>
    <n v="1"/>
    <n v="22000"/>
    <n v="22000"/>
    <x v="1"/>
    <x v="0"/>
    <d v="1899-12-30T21:37:00"/>
  </r>
  <r>
    <x v="8"/>
    <s v=" Bánh flan "/>
    <x v="1"/>
    <n v="3"/>
    <n v="18000"/>
    <n v="54000"/>
    <x v="1"/>
    <x v="0"/>
    <d v="1899-12-30T21:33:00"/>
  </r>
  <r>
    <x v="12"/>
    <s v=" Cà phê sữa đá "/>
    <x v="2"/>
    <n v="1"/>
    <n v="20000"/>
    <n v="20000"/>
    <x v="1"/>
    <x v="0"/>
    <d v="1899-12-30T21:07:00"/>
  </r>
  <r>
    <x v="0"/>
    <s v=" Kem dừa "/>
    <x v="1"/>
    <n v="3"/>
    <n v="20000"/>
    <n v="60000"/>
    <x v="0"/>
    <x v="1"/>
    <d v="1899-12-30T11:30:00"/>
  </r>
  <r>
    <x v="4"/>
    <s v=" Mì xào hải sản "/>
    <x v="0"/>
    <n v="5"/>
    <n v="65000"/>
    <n v="325000"/>
    <x v="0"/>
    <x v="0"/>
    <d v="1899-12-30T10:11:00"/>
  </r>
  <r>
    <x v="7"/>
    <s v=" Chè đậu đen "/>
    <x v="1"/>
    <n v="4"/>
    <n v="15000"/>
    <n v="60000"/>
    <x v="0"/>
    <x v="0"/>
    <d v="1899-12-30T13:12:00"/>
  </r>
  <r>
    <x v="4"/>
    <s v=" Nem rán "/>
    <x v="3"/>
    <n v="3"/>
    <n v="25000"/>
    <n v="75000"/>
    <x v="0"/>
    <x v="0"/>
    <d v="1899-12-30T09:51:00"/>
  </r>
  <r>
    <x v="16"/>
    <s v=" Phở bò tái "/>
    <x v="0"/>
    <n v="4"/>
    <n v="55000"/>
    <n v="220000"/>
    <x v="0"/>
    <x v="0"/>
    <d v="1899-12-30T13:04:00"/>
  </r>
  <r>
    <x v="11"/>
    <s v=" Nem rán "/>
    <x v="3"/>
    <n v="5"/>
    <n v="25000"/>
    <n v="125000"/>
    <x v="0"/>
    <x v="1"/>
    <d v="1899-12-30T11:51:00"/>
  </r>
  <r>
    <x v="1"/>
    <s v=" Sinh tố bơ "/>
    <x v="2"/>
    <n v="3"/>
    <n v="30000"/>
    <n v="90000"/>
    <x v="0"/>
    <x v="0"/>
    <d v="1899-12-30T08:45:00"/>
  </r>
  <r>
    <x v="19"/>
    <s v=" Phở bò tái "/>
    <x v="0"/>
    <n v="5"/>
    <n v="55000"/>
    <n v="275000"/>
    <x v="0"/>
    <x v="1"/>
    <d v="1899-12-30T12:40:00"/>
  </r>
  <r>
    <x v="3"/>
    <s v=" Sinh tố bơ "/>
    <x v="2"/>
    <n v="3"/>
    <n v="30000"/>
    <n v="90000"/>
    <x v="1"/>
    <x v="0"/>
    <d v="1899-12-30T20:37:00"/>
  </r>
  <r>
    <x v="3"/>
    <s v=" Gỏi cuốn tôm thịt "/>
    <x v="3"/>
    <n v="4"/>
    <n v="35000"/>
    <n v="140000"/>
    <x v="1"/>
    <x v="1"/>
    <d v="1899-12-30T18:18:00"/>
  </r>
  <r>
    <x v="1"/>
    <s v=" Cơm chiên dương châu "/>
    <x v="0"/>
    <n v="2"/>
    <n v="50000"/>
    <n v="100000"/>
    <x v="1"/>
    <x v="0"/>
    <d v="1899-12-30T21:26:00"/>
  </r>
  <r>
    <x v="11"/>
    <s v=" Kem dừa "/>
    <x v="1"/>
    <n v="5"/>
    <n v="20000"/>
    <n v="100000"/>
    <x v="1"/>
    <x v="0"/>
    <d v="1899-12-30T21:46:00"/>
  </r>
  <r>
    <x v="15"/>
    <s v=" Phở bò tái "/>
    <x v="0"/>
    <n v="3"/>
    <n v="55000"/>
    <n v="165000"/>
    <x v="1"/>
    <x v="1"/>
    <d v="1899-12-30T18:14:00"/>
  </r>
  <r>
    <x v="7"/>
    <s v=" Bánh flan "/>
    <x v="1"/>
    <n v="2"/>
    <n v="18000"/>
    <n v="36000"/>
    <x v="1"/>
    <x v="0"/>
    <d v="1899-12-30T20:26:00"/>
  </r>
  <r>
    <x v="14"/>
    <s v=" Cà phê sữa đá "/>
    <x v="2"/>
    <n v="2"/>
    <n v="20000"/>
    <n v="40000"/>
    <x v="1"/>
    <x v="0"/>
    <d v="1899-12-30T17:55: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7D0AA9-907E-45D2-8EB3-A630B43736B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7" firstHeaderRow="1" firstDataRow="2" firstDataCol="1" rowPageCount="1" colPageCount="1"/>
  <pivotFields count="9">
    <pivotField axis="axisPage" showAll="0">
      <items count="21">
        <item x="11"/>
        <item x="0"/>
        <item x="3"/>
        <item x="10"/>
        <item x="14"/>
        <item x="8"/>
        <item x="16"/>
        <item x="1"/>
        <item x="12"/>
        <item x="7"/>
        <item x="17"/>
        <item x="4"/>
        <item x="19"/>
        <item x="5"/>
        <item x="15"/>
        <item x="6"/>
        <item x="9"/>
        <item x="2"/>
        <item x="18"/>
        <item x="13"/>
        <item t="default"/>
      </items>
    </pivotField>
    <pivotField showAll="0"/>
    <pivotField axis="axisCol" showAll="0">
      <items count="5">
        <item x="2"/>
        <item x="0"/>
        <item x="3"/>
        <item x="1"/>
        <item t="default"/>
      </items>
    </pivotField>
    <pivotField showAll="0"/>
    <pivotField showAll="0"/>
    <pivotField dataField="1" showAll="0"/>
    <pivotField axis="axisRow" showAll="0">
      <items count="3">
        <item x="0"/>
        <item x="1"/>
        <item t="default"/>
      </items>
    </pivotField>
    <pivotField showAll="0">
      <items count="3">
        <item h="1" x="0"/>
        <item x="1"/>
        <item t="default"/>
      </items>
    </pivotField>
    <pivotField numFmtId="20" showAll="0"/>
  </pivotFields>
  <rowFields count="1">
    <field x="6"/>
  </rowFields>
  <rowItems count="3">
    <i>
      <x/>
    </i>
    <i>
      <x v="1"/>
    </i>
    <i t="grand">
      <x/>
    </i>
  </rowItems>
  <colFields count="1">
    <field x="2"/>
  </colFields>
  <colItems count="5">
    <i>
      <x/>
    </i>
    <i>
      <x v="1"/>
    </i>
    <i>
      <x v="2"/>
    </i>
    <i>
      <x v="3"/>
    </i>
    <i t="grand">
      <x/>
    </i>
  </colItems>
  <pageFields count="1">
    <pageField fld="0" hier="-1"/>
  </pageFields>
  <dataFields count="1">
    <dataField name="Sum of Thanh_Tien"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io_Cao_Diem" xr10:uid="{FE37AE39-E325-47EE-9036-20E19A73DE85}" sourceName="Gio_Cao_Diem">
  <pivotTables>
    <pivotTable tabId="2" name="PivotTable1"/>
  </pivotTables>
  <data>
    <tabular pivotCacheId="1112645790">
      <items count="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io_Cao_Diem" xr10:uid="{AD0BF57A-7BA4-4C98-8368-A0E3B5F2EBFF}" cache="Slicer_Gio_Cao_Diem" caption="Gio_Cao_Diem"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AD5D23-2AAB-4B46-989A-66BE120D05BD}" name="Table1" displayName="Table1" ref="A1:I261" totalsRowShown="0" headerRowDxfId="3">
  <autoFilter ref="A1:I261" xr:uid="{71AD5D23-2AAB-4B46-989A-66BE120D05BD}"/>
  <tableColumns count="9">
    <tableColumn id="1" xr3:uid="{34F3208A-BD77-47D8-A133-14EF01F8BEEC}" name="Số_Bàn"/>
    <tableColumn id="6" xr3:uid="{37970FAB-4F21-4BD1-826E-C8FEBDC67D95}" name="Tên_Món"/>
    <tableColumn id="10" xr3:uid="{82C9E38E-7CEB-463E-9E93-8C62F9EEE92A}" name="Loại_Món"/>
    <tableColumn id="2" xr3:uid="{011D52F8-BEF9-4720-B541-BC562A84FCFC}" name="Qty"/>
    <tableColumn id="3" xr3:uid="{BDAD23FC-9201-4BA4-8EB4-5248FC5A8E37}" name="Price"/>
    <tableColumn id="11" xr3:uid="{87079817-19B5-4BCD-9CE3-276FB698CB5B}" name="Thanh_Tien" dataDxfId="2">
      <calculatedColumnFormula>Table1[[#This Row],[Qty]]*Table1[[#This Row],[Price]]</calculatedColumnFormula>
    </tableColumn>
    <tableColumn id="4" xr3:uid="{1658BDFD-7005-45BB-85D6-185D9D4FDD50}" name="Ca_Lam"/>
    <tableColumn id="12" xr3:uid="{6E754BF4-825C-4F68-97F1-A8462C788242}" name="Gio_Cao_Diem" dataDxfId="1">
      <calculatedColumnFormula>IF(OR(AND(HOUR(I2)&gt;=11, HOUR(I2)&lt;13), AND(HOUR(I2)&gt;=18, HOUR(I2)&lt;20)), "Cao điểm", "Bình thường")</calculatedColumnFormula>
    </tableColumn>
    <tableColumn id="5" xr3:uid="{8C57AAEC-79F0-4862-9DC2-1387AA237F08}" name="Thoi_Gia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20BFB8-76ED-45EA-AB64-D91C1C13AF79}">
  <dimension ref="A1:F11"/>
  <sheetViews>
    <sheetView workbookViewId="0">
      <selection activeCell="D20" sqref="D20"/>
    </sheetView>
  </sheetViews>
  <sheetFormatPr defaultRowHeight="14.4" x14ac:dyDescent="0.3"/>
  <cols>
    <col min="1" max="1" width="17.5546875" bestFit="1" customWidth="1"/>
    <col min="2" max="2" width="15.5546875" bestFit="1" customWidth="1"/>
    <col min="3" max="3" width="10.109375" bestFit="1" customWidth="1"/>
    <col min="4" max="4" width="8.77734375" bestFit="1" customWidth="1"/>
    <col min="5" max="5" width="11.44140625" bestFit="1" customWidth="1"/>
    <col min="6" max="6" width="10.77734375" bestFit="1" customWidth="1"/>
  </cols>
  <sheetData>
    <row r="1" spans="1:6" x14ac:dyDescent="0.3">
      <c r="A1" s="3" t="s">
        <v>53</v>
      </c>
      <c r="B1" t="s">
        <v>62</v>
      </c>
    </row>
    <row r="3" spans="1:6" x14ac:dyDescent="0.3">
      <c r="A3" s="3" t="s">
        <v>61</v>
      </c>
      <c r="B3" s="3" t="s">
        <v>60</v>
      </c>
    </row>
    <row r="4" spans="1:6" x14ac:dyDescent="0.3">
      <c r="A4" s="3" t="s">
        <v>58</v>
      </c>
      <c r="B4" t="s">
        <v>51</v>
      </c>
      <c r="C4" t="s">
        <v>49</v>
      </c>
      <c r="D4" t="s">
        <v>52</v>
      </c>
      <c r="E4" t="s">
        <v>50</v>
      </c>
      <c r="F4" t="s">
        <v>59</v>
      </c>
    </row>
    <row r="5" spans="1:6" x14ac:dyDescent="0.3">
      <c r="A5" s="4" t="s">
        <v>4</v>
      </c>
      <c r="B5" s="5">
        <v>665000</v>
      </c>
      <c r="C5" s="5">
        <v>2400000</v>
      </c>
      <c r="D5" s="5">
        <v>1390000</v>
      </c>
      <c r="E5" s="5">
        <v>450000</v>
      </c>
      <c r="F5" s="5">
        <v>4905000</v>
      </c>
    </row>
    <row r="6" spans="1:6" x14ac:dyDescent="0.3">
      <c r="A6" s="4" t="s">
        <v>5</v>
      </c>
      <c r="B6" s="5">
        <v>1160000</v>
      </c>
      <c r="C6" s="5">
        <v>2815000</v>
      </c>
      <c r="D6" s="5">
        <v>1030000</v>
      </c>
      <c r="E6" s="5">
        <v>260000</v>
      </c>
      <c r="F6" s="5">
        <v>5265000</v>
      </c>
    </row>
    <row r="7" spans="1:6" x14ac:dyDescent="0.3">
      <c r="A7" s="4" t="s">
        <v>59</v>
      </c>
      <c r="B7" s="5">
        <v>1825000</v>
      </c>
      <c r="C7" s="5">
        <v>5215000</v>
      </c>
      <c r="D7" s="5">
        <v>2420000</v>
      </c>
      <c r="E7" s="5">
        <v>710000</v>
      </c>
      <c r="F7" s="5">
        <v>10170000</v>
      </c>
    </row>
    <row r="11" spans="1:6" x14ac:dyDescent="0.3">
      <c r="A11" s="6" t="s">
        <v>63</v>
      </c>
      <c r="B11" s="6"/>
      <c r="C11" s="6"/>
    </row>
  </sheetData>
  <mergeCells count="1">
    <mergeCell ref="A11:C11"/>
  </mergeCells>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75E27-7CB0-4B59-A103-66031D82665B}">
  <dimension ref="A1:M261"/>
  <sheetViews>
    <sheetView tabSelected="1" topLeftCell="E1" zoomScale="75" workbookViewId="0">
      <selection activeCell="L7" sqref="L7"/>
    </sheetView>
  </sheetViews>
  <sheetFormatPr defaultRowHeight="14.4" x14ac:dyDescent="0.3"/>
  <cols>
    <col min="1" max="1" width="16" bestFit="1" customWidth="1"/>
    <col min="2" max="2" width="20.6640625" bestFit="1" customWidth="1"/>
    <col min="3" max="3" width="13" bestFit="1" customWidth="1"/>
    <col min="5" max="6" width="16.6640625" customWidth="1"/>
    <col min="7" max="8" width="19.21875" customWidth="1"/>
    <col min="9" max="9" width="14.109375" customWidth="1"/>
    <col min="10" max="10" width="11.5546875" customWidth="1"/>
    <col min="11" max="11" width="18.88671875" bestFit="1" customWidth="1"/>
    <col min="12" max="12" width="23.88671875" bestFit="1" customWidth="1"/>
    <col min="13" max="13" width="25.88671875" bestFit="1" customWidth="1"/>
  </cols>
  <sheetData>
    <row r="1" spans="1:13" x14ac:dyDescent="0.3">
      <c r="A1" s="2" t="s">
        <v>53</v>
      </c>
      <c r="B1" s="2" t="s">
        <v>54</v>
      </c>
      <c r="C1" s="2" t="s">
        <v>55</v>
      </c>
      <c r="D1" s="2" t="s">
        <v>0</v>
      </c>
      <c r="E1" s="2" t="s">
        <v>1</v>
      </c>
      <c r="F1" s="2" t="s">
        <v>57</v>
      </c>
      <c r="G1" s="2" t="s">
        <v>2</v>
      </c>
      <c r="H1" s="2" t="s">
        <v>56</v>
      </c>
      <c r="I1" s="2" t="s">
        <v>3</v>
      </c>
      <c r="K1" s="7" t="s">
        <v>64</v>
      </c>
      <c r="L1" s="7" t="s">
        <v>65</v>
      </c>
      <c r="M1" s="7" t="s">
        <v>66</v>
      </c>
    </row>
    <row r="2" spans="1:13" x14ac:dyDescent="0.3">
      <c r="A2" t="s">
        <v>6</v>
      </c>
      <c r="B2" t="s">
        <v>26</v>
      </c>
      <c r="C2" t="s">
        <v>49</v>
      </c>
      <c r="D2">
        <v>3</v>
      </c>
      <c r="E2">
        <v>45000</v>
      </c>
      <c r="F2">
        <f>Table1[[#This Row],[Qty]]*Table1[[#This Row],[Price]]</f>
        <v>135000</v>
      </c>
      <c r="G2" t="s">
        <v>4</v>
      </c>
      <c r="H2" t="str">
        <f t="shared" ref="H2:H65" si="0">IF(OR(AND(HOUR(I2)&gt;=11, HOUR(I2)&lt;13), AND(HOUR(I2)&gt;=18, HOUR(I2)&lt;20)), "Cao điểm", "Bình thường")</f>
        <v>Bình thường</v>
      </c>
      <c r="I2" s="1">
        <v>0.38333333333333336</v>
      </c>
      <c r="K2" s="7">
        <f>SUMIF(Table1[Ca_Lam],"Ca tối",Table1[Thanh_Tien])</f>
        <v>12573000</v>
      </c>
      <c r="L2" s="7">
        <f>COUNTIF(Table1[Gio_Cao_Diem],"Cao điểm")</f>
        <v>97</v>
      </c>
      <c r="M2" s="7">
        <f ca="1">SUM(Table1[Thanh_Tien])/COUNTA(UNIQUE(Table1[Số_Bàn]))</f>
        <v>25829000</v>
      </c>
    </row>
    <row r="3" spans="1:13" x14ac:dyDescent="0.3">
      <c r="A3" t="s">
        <v>7</v>
      </c>
      <c r="B3" t="s">
        <v>27</v>
      </c>
      <c r="C3" t="s">
        <v>50</v>
      </c>
      <c r="D3">
        <v>2</v>
      </c>
      <c r="E3">
        <v>18000</v>
      </c>
      <c r="F3">
        <f>Table1[[#This Row],[Qty]]*Table1[[#This Row],[Price]]</f>
        <v>36000</v>
      </c>
      <c r="G3" t="s">
        <v>5</v>
      </c>
      <c r="H3" t="str">
        <f t="shared" si="0"/>
        <v>Bình thường</v>
      </c>
      <c r="I3" s="1">
        <v>0.88472222222222219</v>
      </c>
    </row>
    <row r="4" spans="1:13" x14ac:dyDescent="0.3">
      <c r="A4" t="s">
        <v>8</v>
      </c>
      <c r="B4" t="s">
        <v>28</v>
      </c>
      <c r="C4" t="s">
        <v>51</v>
      </c>
      <c r="D4">
        <v>3</v>
      </c>
      <c r="E4">
        <v>5000</v>
      </c>
      <c r="F4">
        <f>Table1[[#This Row],[Qty]]*Table1[[#This Row],[Price]]</f>
        <v>15000</v>
      </c>
      <c r="G4" t="s">
        <v>4</v>
      </c>
      <c r="H4" t="str">
        <f t="shared" si="0"/>
        <v>Bình thường</v>
      </c>
      <c r="I4" s="1">
        <v>0.35069444444444442</v>
      </c>
    </row>
    <row r="5" spans="1:13" x14ac:dyDescent="0.3">
      <c r="A5" t="s">
        <v>9</v>
      </c>
      <c r="B5" t="s">
        <v>29</v>
      </c>
      <c r="C5" t="s">
        <v>49</v>
      </c>
      <c r="D5">
        <v>5</v>
      </c>
      <c r="E5">
        <v>65000</v>
      </c>
      <c r="F5">
        <f>Table1[[#This Row],[Qty]]*Table1[[#This Row],[Price]]</f>
        <v>325000</v>
      </c>
      <c r="G5" t="s">
        <v>5</v>
      </c>
      <c r="H5" t="str">
        <f t="shared" si="0"/>
        <v>Cao điểm</v>
      </c>
      <c r="I5" s="1">
        <v>0.77083333333333337</v>
      </c>
    </row>
    <row r="6" spans="1:13" x14ac:dyDescent="0.3">
      <c r="A6" t="s">
        <v>10</v>
      </c>
      <c r="B6" t="s">
        <v>30</v>
      </c>
      <c r="C6" t="s">
        <v>49</v>
      </c>
      <c r="D6">
        <v>2</v>
      </c>
      <c r="E6">
        <v>55000</v>
      </c>
      <c r="F6">
        <f>Table1[[#This Row],[Qty]]*Table1[[#This Row],[Price]]</f>
        <v>110000</v>
      </c>
      <c r="G6" t="s">
        <v>5</v>
      </c>
      <c r="H6" t="str">
        <f t="shared" si="0"/>
        <v>Cao điểm</v>
      </c>
      <c r="I6" s="1">
        <v>0.77013888888888893</v>
      </c>
    </row>
    <row r="7" spans="1:13" x14ac:dyDescent="0.3">
      <c r="A7" t="s">
        <v>11</v>
      </c>
      <c r="B7" t="s">
        <v>29</v>
      </c>
      <c r="C7" t="s">
        <v>49</v>
      </c>
      <c r="D7">
        <v>4</v>
      </c>
      <c r="E7">
        <v>65000</v>
      </c>
      <c r="F7">
        <f>Table1[[#This Row],[Qty]]*Table1[[#This Row],[Price]]</f>
        <v>260000</v>
      </c>
      <c r="G7" t="s">
        <v>5</v>
      </c>
      <c r="H7" t="str">
        <f t="shared" si="0"/>
        <v>Bình thường</v>
      </c>
      <c r="I7" s="1">
        <v>0.87291666666666667</v>
      </c>
    </row>
    <row r="8" spans="1:13" x14ac:dyDescent="0.3">
      <c r="A8" t="s">
        <v>12</v>
      </c>
      <c r="B8" t="s">
        <v>26</v>
      </c>
      <c r="C8" t="s">
        <v>49</v>
      </c>
      <c r="D8">
        <v>1</v>
      </c>
      <c r="E8">
        <v>45000</v>
      </c>
      <c r="F8">
        <f>Table1[[#This Row],[Qty]]*Table1[[#This Row],[Price]]</f>
        <v>45000</v>
      </c>
      <c r="G8" t="s">
        <v>5</v>
      </c>
      <c r="H8" t="str">
        <f t="shared" si="0"/>
        <v>Bình thường</v>
      </c>
      <c r="I8" s="1">
        <v>0.70972222222222225</v>
      </c>
    </row>
    <row r="9" spans="1:13" x14ac:dyDescent="0.3">
      <c r="A9" t="s">
        <v>13</v>
      </c>
      <c r="B9" t="s">
        <v>31</v>
      </c>
      <c r="C9" t="s">
        <v>52</v>
      </c>
      <c r="D9">
        <v>2</v>
      </c>
      <c r="E9">
        <v>45000</v>
      </c>
      <c r="F9">
        <f>Table1[[#This Row],[Qty]]*Table1[[#This Row],[Price]]</f>
        <v>90000</v>
      </c>
      <c r="G9" t="s">
        <v>4</v>
      </c>
      <c r="H9" t="str">
        <f t="shared" si="0"/>
        <v>Bình thường</v>
      </c>
      <c r="I9" s="1">
        <v>0.36944444444444446</v>
      </c>
    </row>
    <row r="10" spans="1:13" x14ac:dyDescent="0.3">
      <c r="A10" t="s">
        <v>14</v>
      </c>
      <c r="B10" t="s">
        <v>32</v>
      </c>
      <c r="C10" t="s">
        <v>50</v>
      </c>
      <c r="D10">
        <v>4</v>
      </c>
      <c r="E10">
        <v>15000</v>
      </c>
      <c r="F10">
        <f>Table1[[#This Row],[Qty]]*Table1[[#This Row],[Price]]</f>
        <v>60000</v>
      </c>
      <c r="G10" t="s">
        <v>4</v>
      </c>
      <c r="H10" t="str">
        <f t="shared" si="0"/>
        <v>Bình thường</v>
      </c>
      <c r="I10" s="1">
        <v>0.30833333333333335</v>
      </c>
    </row>
    <row r="11" spans="1:13" x14ac:dyDescent="0.3">
      <c r="A11" t="s">
        <v>11</v>
      </c>
      <c r="B11" t="s">
        <v>27</v>
      </c>
      <c r="C11" t="s">
        <v>50</v>
      </c>
      <c r="D11">
        <v>3</v>
      </c>
      <c r="E11">
        <v>18000</v>
      </c>
      <c r="F11">
        <f>Table1[[#This Row],[Qty]]*Table1[[#This Row],[Price]]</f>
        <v>54000</v>
      </c>
      <c r="G11" t="s">
        <v>5</v>
      </c>
      <c r="H11" t="str">
        <f t="shared" si="0"/>
        <v>Bình thường</v>
      </c>
      <c r="I11" s="1">
        <v>0.74375000000000002</v>
      </c>
    </row>
    <row r="12" spans="1:13" x14ac:dyDescent="0.3">
      <c r="A12" t="s">
        <v>15</v>
      </c>
      <c r="B12" t="s">
        <v>33</v>
      </c>
      <c r="C12" t="s">
        <v>52</v>
      </c>
      <c r="D12">
        <v>1</v>
      </c>
      <c r="E12">
        <v>25000</v>
      </c>
      <c r="F12">
        <f>Table1[[#This Row],[Qty]]*Table1[[#This Row],[Price]]</f>
        <v>25000</v>
      </c>
      <c r="G12" t="s">
        <v>5</v>
      </c>
      <c r="H12" t="str">
        <f t="shared" si="0"/>
        <v>Bình thường</v>
      </c>
      <c r="I12" s="1">
        <v>0.90625</v>
      </c>
    </row>
    <row r="13" spans="1:13" x14ac:dyDescent="0.3">
      <c r="A13" t="s">
        <v>16</v>
      </c>
      <c r="B13" t="s">
        <v>26</v>
      </c>
      <c r="C13" t="s">
        <v>49</v>
      </c>
      <c r="D13">
        <v>1</v>
      </c>
      <c r="E13">
        <v>45000</v>
      </c>
      <c r="F13">
        <f>Table1[[#This Row],[Qty]]*Table1[[#This Row],[Price]]</f>
        <v>45000</v>
      </c>
      <c r="G13" t="s">
        <v>5</v>
      </c>
      <c r="H13" t="str">
        <f t="shared" si="0"/>
        <v>Cao điểm</v>
      </c>
      <c r="I13" s="1">
        <v>0.81666666666666665</v>
      </c>
    </row>
    <row r="14" spans="1:13" x14ac:dyDescent="0.3">
      <c r="A14" t="s">
        <v>17</v>
      </c>
      <c r="B14" t="s">
        <v>34</v>
      </c>
      <c r="C14" t="s">
        <v>51</v>
      </c>
      <c r="D14">
        <v>2</v>
      </c>
      <c r="E14">
        <v>25000</v>
      </c>
      <c r="F14">
        <f>Table1[[#This Row],[Qty]]*Table1[[#This Row],[Price]]</f>
        <v>50000</v>
      </c>
      <c r="G14" t="s">
        <v>5</v>
      </c>
      <c r="H14" t="str">
        <f t="shared" si="0"/>
        <v>Cao điểm</v>
      </c>
      <c r="I14" s="1">
        <v>0.78402777777777777</v>
      </c>
    </row>
    <row r="15" spans="1:13" x14ac:dyDescent="0.3">
      <c r="A15" t="s">
        <v>18</v>
      </c>
      <c r="B15" t="s">
        <v>35</v>
      </c>
      <c r="C15" t="s">
        <v>50</v>
      </c>
      <c r="D15">
        <v>3</v>
      </c>
      <c r="E15">
        <v>20000</v>
      </c>
      <c r="F15">
        <f>Table1[[#This Row],[Qty]]*Table1[[#This Row],[Price]]</f>
        <v>60000</v>
      </c>
      <c r="G15" t="s">
        <v>5</v>
      </c>
      <c r="H15" t="str">
        <f t="shared" si="0"/>
        <v>Bình thường</v>
      </c>
      <c r="I15" s="1">
        <v>0.70902777777777781</v>
      </c>
    </row>
    <row r="16" spans="1:13" x14ac:dyDescent="0.3">
      <c r="A16" t="s">
        <v>19</v>
      </c>
      <c r="B16" t="s">
        <v>33</v>
      </c>
      <c r="C16" t="s">
        <v>52</v>
      </c>
      <c r="D16">
        <v>3</v>
      </c>
      <c r="E16">
        <v>25000</v>
      </c>
      <c r="F16">
        <f>Table1[[#This Row],[Qty]]*Table1[[#This Row],[Price]]</f>
        <v>75000</v>
      </c>
      <c r="G16" t="s">
        <v>4</v>
      </c>
      <c r="H16" t="str">
        <f t="shared" si="0"/>
        <v>Bình thường</v>
      </c>
      <c r="I16" s="1">
        <v>0.36180555555555555</v>
      </c>
    </row>
    <row r="17" spans="1:9" x14ac:dyDescent="0.3">
      <c r="A17" t="s">
        <v>14</v>
      </c>
      <c r="B17" t="s">
        <v>32</v>
      </c>
      <c r="C17" t="s">
        <v>50</v>
      </c>
      <c r="D17">
        <v>1</v>
      </c>
      <c r="E17">
        <v>15000</v>
      </c>
      <c r="F17">
        <f>Table1[[#This Row],[Qty]]*Table1[[#This Row],[Price]]</f>
        <v>15000</v>
      </c>
      <c r="G17" t="s">
        <v>4</v>
      </c>
      <c r="H17" t="str">
        <f t="shared" si="0"/>
        <v>Bình thường</v>
      </c>
      <c r="I17" s="1">
        <v>0.34930555555555554</v>
      </c>
    </row>
    <row r="18" spans="1:9" x14ac:dyDescent="0.3">
      <c r="A18" t="s">
        <v>10</v>
      </c>
      <c r="B18" t="s">
        <v>36</v>
      </c>
      <c r="C18" t="s">
        <v>50</v>
      </c>
      <c r="D18">
        <v>5</v>
      </c>
      <c r="E18">
        <v>22000</v>
      </c>
      <c r="F18">
        <f>Table1[[#This Row],[Qty]]*Table1[[#This Row],[Price]]</f>
        <v>110000</v>
      </c>
      <c r="G18" t="s">
        <v>5</v>
      </c>
      <c r="H18" t="str">
        <f t="shared" si="0"/>
        <v>Bình thường</v>
      </c>
      <c r="I18" s="1">
        <v>0.73750000000000004</v>
      </c>
    </row>
    <row r="19" spans="1:9" x14ac:dyDescent="0.3">
      <c r="A19" t="s">
        <v>9</v>
      </c>
      <c r="B19" t="s">
        <v>37</v>
      </c>
      <c r="C19" t="s">
        <v>51</v>
      </c>
      <c r="D19">
        <v>5</v>
      </c>
      <c r="E19">
        <v>15000</v>
      </c>
      <c r="F19">
        <f>Table1[[#This Row],[Qty]]*Table1[[#This Row],[Price]]</f>
        <v>75000</v>
      </c>
      <c r="G19" t="s">
        <v>4</v>
      </c>
      <c r="H19" t="str">
        <f t="shared" si="0"/>
        <v>Cao điểm</v>
      </c>
      <c r="I19" s="1">
        <v>0.50624999999999998</v>
      </c>
    </row>
    <row r="20" spans="1:9" x14ac:dyDescent="0.3">
      <c r="A20" t="s">
        <v>13</v>
      </c>
      <c r="B20" t="s">
        <v>37</v>
      </c>
      <c r="C20" t="s">
        <v>51</v>
      </c>
      <c r="D20">
        <v>2</v>
      </c>
      <c r="E20">
        <v>15000</v>
      </c>
      <c r="F20">
        <f>Table1[[#This Row],[Qty]]*Table1[[#This Row],[Price]]</f>
        <v>30000</v>
      </c>
      <c r="G20" t="s">
        <v>4</v>
      </c>
      <c r="H20" t="str">
        <f t="shared" si="0"/>
        <v>Cao điểm</v>
      </c>
      <c r="I20" s="1">
        <v>0.49513888888888891</v>
      </c>
    </row>
    <row r="21" spans="1:9" x14ac:dyDescent="0.3">
      <c r="A21" t="s">
        <v>15</v>
      </c>
      <c r="B21" t="s">
        <v>29</v>
      </c>
      <c r="C21" t="s">
        <v>49</v>
      </c>
      <c r="D21">
        <v>1</v>
      </c>
      <c r="E21">
        <v>65000</v>
      </c>
      <c r="F21">
        <f>Table1[[#This Row],[Qty]]*Table1[[#This Row],[Price]]</f>
        <v>65000</v>
      </c>
      <c r="G21" t="s">
        <v>5</v>
      </c>
      <c r="H21" t="str">
        <f t="shared" si="0"/>
        <v>Cao điểm</v>
      </c>
      <c r="I21" s="1">
        <v>0.81458333333333333</v>
      </c>
    </row>
    <row r="22" spans="1:9" x14ac:dyDescent="0.3">
      <c r="A22" t="s">
        <v>9</v>
      </c>
      <c r="B22" t="s">
        <v>38</v>
      </c>
      <c r="C22" t="s">
        <v>52</v>
      </c>
      <c r="D22">
        <v>4</v>
      </c>
      <c r="E22">
        <v>30000</v>
      </c>
      <c r="F22">
        <f>Table1[[#This Row],[Qty]]*Table1[[#This Row],[Price]]</f>
        <v>120000</v>
      </c>
      <c r="G22" t="s">
        <v>4</v>
      </c>
      <c r="H22" t="str">
        <f t="shared" si="0"/>
        <v>Cao điểm</v>
      </c>
      <c r="I22" s="1">
        <v>0.45833333333333331</v>
      </c>
    </row>
    <row r="23" spans="1:9" x14ac:dyDescent="0.3">
      <c r="A23" t="s">
        <v>20</v>
      </c>
      <c r="B23" t="s">
        <v>34</v>
      </c>
      <c r="C23" t="s">
        <v>51</v>
      </c>
      <c r="D23">
        <v>1</v>
      </c>
      <c r="E23">
        <v>25000</v>
      </c>
      <c r="F23">
        <f>Table1[[#This Row],[Qty]]*Table1[[#This Row],[Price]]</f>
        <v>25000</v>
      </c>
      <c r="G23" t="s">
        <v>4</v>
      </c>
      <c r="H23" t="str">
        <f t="shared" si="0"/>
        <v>Bình thường</v>
      </c>
      <c r="I23" s="1">
        <v>0.45277777777777778</v>
      </c>
    </row>
    <row r="24" spans="1:9" x14ac:dyDescent="0.3">
      <c r="A24" t="s">
        <v>10</v>
      </c>
      <c r="B24" t="s">
        <v>29</v>
      </c>
      <c r="C24" t="s">
        <v>49</v>
      </c>
      <c r="D24">
        <v>5</v>
      </c>
      <c r="E24">
        <v>65000</v>
      </c>
      <c r="F24">
        <f>Table1[[#This Row],[Qty]]*Table1[[#This Row],[Price]]</f>
        <v>325000</v>
      </c>
      <c r="G24" t="s">
        <v>4</v>
      </c>
      <c r="H24" t="str">
        <f t="shared" si="0"/>
        <v>Cao điểm</v>
      </c>
      <c r="I24" s="1">
        <v>0.51041666666666663</v>
      </c>
    </row>
    <row r="25" spans="1:9" x14ac:dyDescent="0.3">
      <c r="A25" t="s">
        <v>8</v>
      </c>
      <c r="B25" t="s">
        <v>39</v>
      </c>
      <c r="C25" t="s">
        <v>52</v>
      </c>
      <c r="D25">
        <v>1</v>
      </c>
      <c r="E25">
        <v>35000</v>
      </c>
      <c r="F25">
        <f>Table1[[#This Row],[Qty]]*Table1[[#This Row],[Price]]</f>
        <v>35000</v>
      </c>
      <c r="G25" t="s">
        <v>5</v>
      </c>
      <c r="H25" t="str">
        <f t="shared" si="0"/>
        <v>Bình thường</v>
      </c>
      <c r="I25" s="1">
        <v>0.87986111111111109</v>
      </c>
    </row>
    <row r="26" spans="1:9" x14ac:dyDescent="0.3">
      <c r="A26" t="s">
        <v>18</v>
      </c>
      <c r="B26" t="s">
        <v>29</v>
      </c>
      <c r="C26" t="s">
        <v>49</v>
      </c>
      <c r="D26">
        <v>5</v>
      </c>
      <c r="E26">
        <v>65000</v>
      </c>
      <c r="F26">
        <f>Table1[[#This Row],[Qty]]*Table1[[#This Row],[Price]]</f>
        <v>325000</v>
      </c>
      <c r="G26" t="s">
        <v>5</v>
      </c>
      <c r="H26" t="str">
        <f t="shared" si="0"/>
        <v>Bình thường</v>
      </c>
      <c r="I26" s="1">
        <v>0.89930555555555558</v>
      </c>
    </row>
    <row r="27" spans="1:9" x14ac:dyDescent="0.3">
      <c r="A27" t="s">
        <v>17</v>
      </c>
      <c r="B27" t="s">
        <v>34</v>
      </c>
      <c r="C27" t="s">
        <v>51</v>
      </c>
      <c r="D27">
        <v>2</v>
      </c>
      <c r="E27">
        <v>25000</v>
      </c>
      <c r="F27">
        <f>Table1[[#This Row],[Qty]]*Table1[[#This Row],[Price]]</f>
        <v>50000</v>
      </c>
      <c r="G27" t="s">
        <v>5</v>
      </c>
      <c r="H27" t="str">
        <f t="shared" si="0"/>
        <v>Cao điểm</v>
      </c>
      <c r="I27" s="1">
        <v>0.75347222222222221</v>
      </c>
    </row>
    <row r="28" spans="1:9" x14ac:dyDescent="0.3">
      <c r="A28" t="s">
        <v>11</v>
      </c>
      <c r="B28" t="s">
        <v>39</v>
      </c>
      <c r="C28" t="s">
        <v>52</v>
      </c>
      <c r="D28">
        <v>4</v>
      </c>
      <c r="E28">
        <v>35000</v>
      </c>
      <c r="F28">
        <f>Table1[[#This Row],[Qty]]*Table1[[#This Row],[Price]]</f>
        <v>140000</v>
      </c>
      <c r="G28" t="s">
        <v>5</v>
      </c>
      <c r="H28" t="str">
        <f t="shared" si="0"/>
        <v>Bình thường</v>
      </c>
      <c r="I28" s="1">
        <v>0.89513888888888893</v>
      </c>
    </row>
    <row r="29" spans="1:9" x14ac:dyDescent="0.3">
      <c r="A29" t="s">
        <v>17</v>
      </c>
      <c r="B29" t="s">
        <v>32</v>
      </c>
      <c r="C29" t="s">
        <v>50</v>
      </c>
      <c r="D29">
        <v>3</v>
      </c>
      <c r="E29">
        <v>15000</v>
      </c>
      <c r="F29">
        <f>Table1[[#This Row],[Qty]]*Table1[[#This Row],[Price]]</f>
        <v>45000</v>
      </c>
      <c r="G29" t="s">
        <v>5</v>
      </c>
      <c r="H29" t="str">
        <f t="shared" si="0"/>
        <v>Bình thường</v>
      </c>
      <c r="I29" s="1">
        <v>0.9</v>
      </c>
    </row>
    <row r="30" spans="1:9" x14ac:dyDescent="0.3">
      <c r="A30" t="s">
        <v>15</v>
      </c>
      <c r="B30" t="s">
        <v>37</v>
      </c>
      <c r="C30" t="s">
        <v>51</v>
      </c>
      <c r="D30">
        <v>4</v>
      </c>
      <c r="E30">
        <v>15000</v>
      </c>
      <c r="F30">
        <f>Table1[[#This Row],[Qty]]*Table1[[#This Row],[Price]]</f>
        <v>60000</v>
      </c>
      <c r="G30" t="s">
        <v>5</v>
      </c>
      <c r="H30" t="str">
        <f t="shared" si="0"/>
        <v>Bình thường</v>
      </c>
      <c r="I30" s="1">
        <v>0.88124999999999998</v>
      </c>
    </row>
    <row r="31" spans="1:9" x14ac:dyDescent="0.3">
      <c r="A31" t="s">
        <v>17</v>
      </c>
      <c r="B31" t="s">
        <v>37</v>
      </c>
      <c r="C31" t="s">
        <v>51</v>
      </c>
      <c r="D31">
        <v>3</v>
      </c>
      <c r="E31">
        <v>15000</v>
      </c>
      <c r="F31">
        <f>Table1[[#This Row],[Qty]]*Table1[[#This Row],[Price]]</f>
        <v>45000</v>
      </c>
      <c r="G31" t="s">
        <v>4</v>
      </c>
      <c r="H31" t="str">
        <f t="shared" si="0"/>
        <v>Cao điểm</v>
      </c>
      <c r="I31" s="1">
        <v>0.4777777777777778</v>
      </c>
    </row>
    <row r="32" spans="1:9" x14ac:dyDescent="0.3">
      <c r="A32" t="s">
        <v>11</v>
      </c>
      <c r="B32" t="s">
        <v>31</v>
      </c>
      <c r="C32" t="s">
        <v>52</v>
      </c>
      <c r="D32">
        <v>5</v>
      </c>
      <c r="E32">
        <v>45000</v>
      </c>
      <c r="F32">
        <f>Table1[[#This Row],[Qty]]*Table1[[#This Row],[Price]]</f>
        <v>225000</v>
      </c>
      <c r="G32" t="s">
        <v>5</v>
      </c>
      <c r="H32" t="str">
        <f t="shared" si="0"/>
        <v>Cao điểm</v>
      </c>
      <c r="I32" s="1">
        <v>0.75486111111111109</v>
      </c>
    </row>
    <row r="33" spans="1:9" x14ac:dyDescent="0.3">
      <c r="A33" t="s">
        <v>21</v>
      </c>
      <c r="B33" t="s">
        <v>34</v>
      </c>
      <c r="C33" t="s">
        <v>51</v>
      </c>
      <c r="D33">
        <v>1</v>
      </c>
      <c r="E33">
        <v>25000</v>
      </c>
      <c r="F33">
        <f>Table1[[#This Row],[Qty]]*Table1[[#This Row],[Price]]</f>
        <v>25000</v>
      </c>
      <c r="G33" t="s">
        <v>4</v>
      </c>
      <c r="H33" t="str">
        <f t="shared" si="0"/>
        <v>Bình thường</v>
      </c>
      <c r="I33" s="1">
        <v>0.45208333333333334</v>
      </c>
    </row>
    <row r="34" spans="1:9" x14ac:dyDescent="0.3">
      <c r="A34" t="s">
        <v>19</v>
      </c>
      <c r="B34" t="s">
        <v>40</v>
      </c>
      <c r="C34" t="s">
        <v>49</v>
      </c>
      <c r="D34">
        <v>3</v>
      </c>
      <c r="E34">
        <v>55000</v>
      </c>
      <c r="F34">
        <f>Table1[[#This Row],[Qty]]*Table1[[#This Row],[Price]]</f>
        <v>165000</v>
      </c>
      <c r="G34" t="s">
        <v>5</v>
      </c>
      <c r="H34" t="str">
        <f t="shared" si="0"/>
        <v>Bình thường</v>
      </c>
      <c r="I34" s="1">
        <v>0.85555555555555551</v>
      </c>
    </row>
    <row r="35" spans="1:9" x14ac:dyDescent="0.3">
      <c r="A35" t="s">
        <v>22</v>
      </c>
      <c r="B35" t="s">
        <v>32</v>
      </c>
      <c r="C35" t="s">
        <v>50</v>
      </c>
      <c r="D35">
        <v>5</v>
      </c>
      <c r="E35">
        <v>15000</v>
      </c>
      <c r="F35">
        <f>Table1[[#This Row],[Qty]]*Table1[[#This Row],[Price]]</f>
        <v>75000</v>
      </c>
      <c r="G35" t="s">
        <v>4</v>
      </c>
      <c r="H35" t="str">
        <f t="shared" si="0"/>
        <v>Bình thường</v>
      </c>
      <c r="I35" s="1">
        <v>0.33958333333333335</v>
      </c>
    </row>
    <row r="36" spans="1:9" x14ac:dyDescent="0.3">
      <c r="A36" t="s">
        <v>13</v>
      </c>
      <c r="B36" t="s">
        <v>38</v>
      </c>
      <c r="C36" t="s">
        <v>52</v>
      </c>
      <c r="D36">
        <v>3</v>
      </c>
      <c r="E36">
        <v>30000</v>
      </c>
      <c r="F36">
        <f>Table1[[#This Row],[Qty]]*Table1[[#This Row],[Price]]</f>
        <v>90000</v>
      </c>
      <c r="G36" t="s">
        <v>5</v>
      </c>
      <c r="H36" t="str">
        <f t="shared" si="0"/>
        <v>Bình thường</v>
      </c>
      <c r="I36" s="1">
        <v>0.85624999999999996</v>
      </c>
    </row>
    <row r="37" spans="1:9" x14ac:dyDescent="0.3">
      <c r="A37" t="s">
        <v>16</v>
      </c>
      <c r="B37" t="s">
        <v>28</v>
      </c>
      <c r="C37" t="s">
        <v>51</v>
      </c>
      <c r="D37">
        <v>2</v>
      </c>
      <c r="E37">
        <v>5000</v>
      </c>
      <c r="F37">
        <f>Table1[[#This Row],[Qty]]*Table1[[#This Row],[Price]]</f>
        <v>10000</v>
      </c>
      <c r="G37" t="s">
        <v>5</v>
      </c>
      <c r="H37" t="str">
        <f t="shared" si="0"/>
        <v>Cao điểm</v>
      </c>
      <c r="I37" s="1">
        <v>0.8208333333333333</v>
      </c>
    </row>
    <row r="38" spans="1:9" x14ac:dyDescent="0.3">
      <c r="A38" t="s">
        <v>23</v>
      </c>
      <c r="B38" t="s">
        <v>41</v>
      </c>
      <c r="C38" t="s">
        <v>51</v>
      </c>
      <c r="D38">
        <v>4</v>
      </c>
      <c r="E38">
        <v>20000</v>
      </c>
      <c r="F38">
        <f>Table1[[#This Row],[Qty]]*Table1[[#This Row],[Price]]</f>
        <v>80000</v>
      </c>
      <c r="G38" t="s">
        <v>4</v>
      </c>
      <c r="H38" t="str">
        <f t="shared" si="0"/>
        <v>Bình thường</v>
      </c>
      <c r="I38" s="1">
        <v>0.54583333333333328</v>
      </c>
    </row>
    <row r="39" spans="1:9" x14ac:dyDescent="0.3">
      <c r="A39" t="s">
        <v>19</v>
      </c>
      <c r="B39" t="s">
        <v>42</v>
      </c>
      <c r="C39" t="s">
        <v>49</v>
      </c>
      <c r="D39">
        <v>2</v>
      </c>
      <c r="E39">
        <v>60000</v>
      </c>
      <c r="F39">
        <f>Table1[[#This Row],[Qty]]*Table1[[#This Row],[Price]]</f>
        <v>120000</v>
      </c>
      <c r="G39" t="s">
        <v>5</v>
      </c>
      <c r="H39" t="str">
        <f t="shared" si="0"/>
        <v>Bình thường</v>
      </c>
      <c r="I39" s="1">
        <v>0.71319444444444446</v>
      </c>
    </row>
    <row r="40" spans="1:9" x14ac:dyDescent="0.3">
      <c r="A40" t="s">
        <v>22</v>
      </c>
      <c r="B40" t="s">
        <v>43</v>
      </c>
      <c r="C40" t="s">
        <v>51</v>
      </c>
      <c r="D40">
        <v>3</v>
      </c>
      <c r="E40">
        <v>25000</v>
      </c>
      <c r="F40">
        <f>Table1[[#This Row],[Qty]]*Table1[[#This Row],[Price]]</f>
        <v>75000</v>
      </c>
      <c r="G40" t="s">
        <v>4</v>
      </c>
      <c r="H40" t="str">
        <f t="shared" si="0"/>
        <v>Cao điểm</v>
      </c>
      <c r="I40" s="1">
        <v>0.52708333333333335</v>
      </c>
    </row>
    <row r="41" spans="1:9" x14ac:dyDescent="0.3">
      <c r="A41" t="s">
        <v>23</v>
      </c>
      <c r="B41" t="s">
        <v>34</v>
      </c>
      <c r="C41" t="s">
        <v>51</v>
      </c>
      <c r="D41">
        <v>5</v>
      </c>
      <c r="E41">
        <v>25000</v>
      </c>
      <c r="F41">
        <f>Table1[[#This Row],[Qty]]*Table1[[#This Row],[Price]]</f>
        <v>125000</v>
      </c>
      <c r="G41" t="s">
        <v>5</v>
      </c>
      <c r="H41" t="str">
        <f t="shared" si="0"/>
        <v>Cao điểm</v>
      </c>
      <c r="I41" s="1">
        <v>0.78055555555555556</v>
      </c>
    </row>
    <row r="42" spans="1:9" x14ac:dyDescent="0.3">
      <c r="A42" t="s">
        <v>15</v>
      </c>
      <c r="B42" t="s">
        <v>44</v>
      </c>
      <c r="C42" t="s">
        <v>51</v>
      </c>
      <c r="D42">
        <v>3</v>
      </c>
      <c r="E42">
        <v>30000</v>
      </c>
      <c r="F42">
        <f>Table1[[#This Row],[Qty]]*Table1[[#This Row],[Price]]</f>
        <v>90000</v>
      </c>
      <c r="G42" t="s">
        <v>5</v>
      </c>
      <c r="H42" t="str">
        <f t="shared" si="0"/>
        <v>Cao điểm</v>
      </c>
      <c r="I42" s="1">
        <v>0.76180555555555551</v>
      </c>
    </row>
    <row r="43" spans="1:9" x14ac:dyDescent="0.3">
      <c r="A43" t="s">
        <v>12</v>
      </c>
      <c r="B43" t="s">
        <v>45</v>
      </c>
      <c r="C43" t="s">
        <v>49</v>
      </c>
      <c r="D43">
        <v>5</v>
      </c>
      <c r="E43">
        <v>50000</v>
      </c>
      <c r="F43">
        <f>Table1[[#This Row],[Qty]]*Table1[[#This Row],[Price]]</f>
        <v>250000</v>
      </c>
      <c r="G43" t="s">
        <v>5</v>
      </c>
      <c r="H43" t="str">
        <f t="shared" si="0"/>
        <v>Bình thường</v>
      </c>
      <c r="I43" s="1">
        <v>0.85069444444444442</v>
      </c>
    </row>
    <row r="44" spans="1:9" x14ac:dyDescent="0.3">
      <c r="A44" t="s">
        <v>23</v>
      </c>
      <c r="B44" t="s">
        <v>46</v>
      </c>
      <c r="C44" t="s">
        <v>49</v>
      </c>
      <c r="D44">
        <v>4</v>
      </c>
      <c r="E44">
        <v>35000</v>
      </c>
      <c r="F44">
        <f>Table1[[#This Row],[Qty]]*Table1[[#This Row],[Price]]</f>
        <v>140000</v>
      </c>
      <c r="G44" t="s">
        <v>4</v>
      </c>
      <c r="H44" t="str">
        <f t="shared" si="0"/>
        <v>Cao điểm</v>
      </c>
      <c r="I44" s="1">
        <v>0.51527777777777772</v>
      </c>
    </row>
    <row r="45" spans="1:9" x14ac:dyDescent="0.3">
      <c r="A45" t="s">
        <v>20</v>
      </c>
      <c r="B45" t="s">
        <v>32</v>
      </c>
      <c r="C45" t="s">
        <v>50</v>
      </c>
      <c r="D45">
        <v>1</v>
      </c>
      <c r="E45">
        <v>15000</v>
      </c>
      <c r="F45">
        <f>Table1[[#This Row],[Qty]]*Table1[[#This Row],[Price]]</f>
        <v>15000</v>
      </c>
      <c r="G45" t="s">
        <v>4</v>
      </c>
      <c r="H45" t="str">
        <f t="shared" si="0"/>
        <v>Bình thường</v>
      </c>
      <c r="I45" s="1">
        <v>0.30972222222222223</v>
      </c>
    </row>
    <row r="46" spans="1:9" x14ac:dyDescent="0.3">
      <c r="A46" t="s">
        <v>15</v>
      </c>
      <c r="B46" t="s">
        <v>43</v>
      </c>
      <c r="C46" t="s">
        <v>51</v>
      </c>
      <c r="D46">
        <v>4</v>
      </c>
      <c r="E46">
        <v>25000</v>
      </c>
      <c r="F46">
        <f>Table1[[#This Row],[Qty]]*Table1[[#This Row],[Price]]</f>
        <v>100000</v>
      </c>
      <c r="G46" t="s">
        <v>5</v>
      </c>
      <c r="H46" t="str">
        <f t="shared" si="0"/>
        <v>Cao điểm</v>
      </c>
      <c r="I46" s="1">
        <v>0.76249999999999996</v>
      </c>
    </row>
    <row r="47" spans="1:9" x14ac:dyDescent="0.3">
      <c r="A47" t="s">
        <v>15</v>
      </c>
      <c r="B47" t="s">
        <v>33</v>
      </c>
      <c r="C47" t="s">
        <v>52</v>
      </c>
      <c r="D47">
        <v>5</v>
      </c>
      <c r="E47">
        <v>25000</v>
      </c>
      <c r="F47">
        <f>Table1[[#This Row],[Qty]]*Table1[[#This Row],[Price]]</f>
        <v>125000</v>
      </c>
      <c r="G47" t="s">
        <v>5</v>
      </c>
      <c r="H47" t="str">
        <f t="shared" si="0"/>
        <v>Bình thường</v>
      </c>
      <c r="I47" s="1">
        <v>0.91388888888888886</v>
      </c>
    </row>
    <row r="48" spans="1:9" x14ac:dyDescent="0.3">
      <c r="A48" t="s">
        <v>16</v>
      </c>
      <c r="B48" t="s">
        <v>29</v>
      </c>
      <c r="C48" t="s">
        <v>49</v>
      </c>
      <c r="D48">
        <v>4</v>
      </c>
      <c r="E48">
        <v>65000</v>
      </c>
      <c r="F48">
        <f>Table1[[#This Row],[Qty]]*Table1[[#This Row],[Price]]</f>
        <v>260000</v>
      </c>
      <c r="G48" t="s">
        <v>4</v>
      </c>
      <c r="H48" t="str">
        <f t="shared" si="0"/>
        <v>Bình thường</v>
      </c>
      <c r="I48" s="1">
        <v>0.32777777777777778</v>
      </c>
    </row>
    <row r="49" spans="1:9" x14ac:dyDescent="0.3">
      <c r="A49" t="s">
        <v>14</v>
      </c>
      <c r="B49" t="s">
        <v>32</v>
      </c>
      <c r="C49" t="s">
        <v>50</v>
      </c>
      <c r="D49">
        <v>3</v>
      </c>
      <c r="E49">
        <v>15000</v>
      </c>
      <c r="F49">
        <f>Table1[[#This Row],[Qty]]*Table1[[#This Row],[Price]]</f>
        <v>45000</v>
      </c>
      <c r="G49" t="s">
        <v>4</v>
      </c>
      <c r="H49" t="str">
        <f t="shared" si="0"/>
        <v>Cao điểm</v>
      </c>
      <c r="I49" s="1">
        <v>0.49791666666666667</v>
      </c>
    </row>
    <row r="50" spans="1:9" x14ac:dyDescent="0.3">
      <c r="A50" t="s">
        <v>11</v>
      </c>
      <c r="B50" t="s">
        <v>31</v>
      </c>
      <c r="C50" t="s">
        <v>52</v>
      </c>
      <c r="D50">
        <v>2</v>
      </c>
      <c r="E50">
        <v>45000</v>
      </c>
      <c r="F50">
        <f>Table1[[#This Row],[Qty]]*Table1[[#This Row],[Price]]</f>
        <v>90000</v>
      </c>
      <c r="G50" t="s">
        <v>4</v>
      </c>
      <c r="H50" t="str">
        <f t="shared" si="0"/>
        <v>Bình thường</v>
      </c>
      <c r="I50" s="1">
        <v>0.43055555555555558</v>
      </c>
    </row>
    <row r="51" spans="1:9" x14ac:dyDescent="0.3">
      <c r="A51" t="s">
        <v>8</v>
      </c>
      <c r="B51" t="s">
        <v>27</v>
      </c>
      <c r="C51" t="s">
        <v>50</v>
      </c>
      <c r="D51">
        <v>5</v>
      </c>
      <c r="E51">
        <v>18000</v>
      </c>
      <c r="F51">
        <f>Table1[[#This Row],[Qty]]*Table1[[#This Row],[Price]]</f>
        <v>90000</v>
      </c>
      <c r="G51" t="s">
        <v>4</v>
      </c>
      <c r="H51" t="str">
        <f t="shared" si="0"/>
        <v>Bình thường</v>
      </c>
      <c r="I51" s="1">
        <v>0.55763888888888891</v>
      </c>
    </row>
    <row r="52" spans="1:9" x14ac:dyDescent="0.3">
      <c r="A52" t="s">
        <v>9</v>
      </c>
      <c r="B52" t="s">
        <v>27</v>
      </c>
      <c r="C52" t="s">
        <v>50</v>
      </c>
      <c r="D52">
        <v>1</v>
      </c>
      <c r="E52">
        <v>18000</v>
      </c>
      <c r="F52">
        <f>Table1[[#This Row],[Qty]]*Table1[[#This Row],[Price]]</f>
        <v>18000</v>
      </c>
      <c r="G52" t="s">
        <v>4</v>
      </c>
      <c r="H52" t="str">
        <f t="shared" si="0"/>
        <v>Cao điểm</v>
      </c>
      <c r="I52" s="1">
        <v>0.50347222222222221</v>
      </c>
    </row>
    <row r="53" spans="1:9" x14ac:dyDescent="0.3">
      <c r="A53" t="s">
        <v>20</v>
      </c>
      <c r="B53" t="s">
        <v>38</v>
      </c>
      <c r="C53" t="s">
        <v>52</v>
      </c>
      <c r="D53">
        <v>2</v>
      </c>
      <c r="E53">
        <v>30000</v>
      </c>
      <c r="F53">
        <f>Table1[[#This Row],[Qty]]*Table1[[#This Row],[Price]]</f>
        <v>60000</v>
      </c>
      <c r="G53" t="s">
        <v>4</v>
      </c>
      <c r="H53" t="str">
        <f t="shared" si="0"/>
        <v>Cao điểm</v>
      </c>
      <c r="I53" s="1">
        <v>0.52777777777777779</v>
      </c>
    </row>
    <row r="54" spans="1:9" x14ac:dyDescent="0.3">
      <c r="A54" t="s">
        <v>9</v>
      </c>
      <c r="B54" t="s">
        <v>37</v>
      </c>
      <c r="C54" t="s">
        <v>51</v>
      </c>
      <c r="D54">
        <v>4</v>
      </c>
      <c r="E54">
        <v>15000</v>
      </c>
      <c r="F54">
        <f>Table1[[#This Row],[Qty]]*Table1[[#This Row],[Price]]</f>
        <v>60000</v>
      </c>
      <c r="G54" t="s">
        <v>4</v>
      </c>
      <c r="H54" t="str">
        <f t="shared" si="0"/>
        <v>Cao điểm</v>
      </c>
      <c r="I54" s="1">
        <v>0.49166666666666664</v>
      </c>
    </row>
    <row r="55" spans="1:9" x14ac:dyDescent="0.3">
      <c r="A55" t="s">
        <v>8</v>
      </c>
      <c r="B55" t="s">
        <v>33</v>
      </c>
      <c r="C55" t="s">
        <v>52</v>
      </c>
      <c r="D55">
        <v>4</v>
      </c>
      <c r="E55">
        <v>25000</v>
      </c>
      <c r="F55">
        <f>Table1[[#This Row],[Qty]]*Table1[[#This Row],[Price]]</f>
        <v>100000</v>
      </c>
      <c r="G55" t="s">
        <v>4</v>
      </c>
      <c r="H55" t="str">
        <f t="shared" si="0"/>
        <v>Cao điểm</v>
      </c>
      <c r="I55" s="1">
        <v>0.49652777777777779</v>
      </c>
    </row>
    <row r="56" spans="1:9" x14ac:dyDescent="0.3">
      <c r="A56" t="s">
        <v>18</v>
      </c>
      <c r="B56" t="s">
        <v>37</v>
      </c>
      <c r="C56" t="s">
        <v>51</v>
      </c>
      <c r="D56">
        <v>4</v>
      </c>
      <c r="E56">
        <v>15000</v>
      </c>
      <c r="F56">
        <f>Table1[[#This Row],[Qty]]*Table1[[#This Row],[Price]]</f>
        <v>60000</v>
      </c>
      <c r="G56" t="s">
        <v>4</v>
      </c>
      <c r="H56" t="str">
        <f t="shared" si="0"/>
        <v>Bình thường</v>
      </c>
      <c r="I56" s="1">
        <v>0.42777777777777776</v>
      </c>
    </row>
    <row r="57" spans="1:9" x14ac:dyDescent="0.3">
      <c r="A57" t="s">
        <v>21</v>
      </c>
      <c r="B57" t="s">
        <v>26</v>
      </c>
      <c r="C57" t="s">
        <v>49</v>
      </c>
      <c r="D57">
        <v>5</v>
      </c>
      <c r="E57">
        <v>45000</v>
      </c>
      <c r="F57">
        <f>Table1[[#This Row],[Qty]]*Table1[[#This Row],[Price]]</f>
        <v>225000</v>
      </c>
      <c r="G57" t="s">
        <v>4</v>
      </c>
      <c r="H57" t="str">
        <f t="shared" si="0"/>
        <v>Bình thường</v>
      </c>
      <c r="I57" s="1">
        <v>0.45555555555555555</v>
      </c>
    </row>
    <row r="58" spans="1:9" x14ac:dyDescent="0.3">
      <c r="A58" t="s">
        <v>24</v>
      </c>
      <c r="B58" t="s">
        <v>43</v>
      </c>
      <c r="C58" t="s">
        <v>51</v>
      </c>
      <c r="D58">
        <v>4</v>
      </c>
      <c r="E58">
        <v>25000</v>
      </c>
      <c r="F58">
        <f>Table1[[#This Row],[Qty]]*Table1[[#This Row],[Price]]</f>
        <v>100000</v>
      </c>
      <c r="G58" t="s">
        <v>4</v>
      </c>
      <c r="H58" t="str">
        <f t="shared" si="0"/>
        <v>Bình thường</v>
      </c>
      <c r="I58" s="1">
        <v>0.35347222222222224</v>
      </c>
    </row>
    <row r="59" spans="1:9" x14ac:dyDescent="0.3">
      <c r="A59" t="s">
        <v>8</v>
      </c>
      <c r="B59" t="s">
        <v>29</v>
      </c>
      <c r="C59" t="s">
        <v>49</v>
      </c>
      <c r="D59">
        <v>2</v>
      </c>
      <c r="E59">
        <v>65000</v>
      </c>
      <c r="F59">
        <f>Table1[[#This Row],[Qty]]*Table1[[#This Row],[Price]]</f>
        <v>130000</v>
      </c>
      <c r="G59" t="s">
        <v>5</v>
      </c>
      <c r="H59" t="str">
        <f t="shared" si="0"/>
        <v>Bình thường</v>
      </c>
      <c r="I59" s="1">
        <v>0.84930555555555554</v>
      </c>
    </row>
    <row r="60" spans="1:9" x14ac:dyDescent="0.3">
      <c r="A60" t="s">
        <v>12</v>
      </c>
      <c r="B60" t="s">
        <v>28</v>
      </c>
      <c r="C60" t="s">
        <v>51</v>
      </c>
      <c r="D60">
        <v>5</v>
      </c>
      <c r="E60">
        <v>5000</v>
      </c>
      <c r="F60">
        <f>Table1[[#This Row],[Qty]]*Table1[[#This Row],[Price]]</f>
        <v>25000</v>
      </c>
      <c r="G60" t="s">
        <v>4</v>
      </c>
      <c r="H60" t="str">
        <f t="shared" si="0"/>
        <v>Bình thường</v>
      </c>
      <c r="I60" s="1">
        <v>0.37986111111111109</v>
      </c>
    </row>
    <row r="61" spans="1:9" x14ac:dyDescent="0.3">
      <c r="A61" t="s">
        <v>9</v>
      </c>
      <c r="B61" t="s">
        <v>30</v>
      </c>
      <c r="C61" t="s">
        <v>49</v>
      </c>
      <c r="D61">
        <v>3</v>
      </c>
      <c r="E61">
        <v>55000</v>
      </c>
      <c r="F61">
        <f>Table1[[#This Row],[Qty]]*Table1[[#This Row],[Price]]</f>
        <v>165000</v>
      </c>
      <c r="G61" t="s">
        <v>5</v>
      </c>
      <c r="H61" t="str">
        <f t="shared" si="0"/>
        <v>Cao điểm</v>
      </c>
      <c r="I61" s="1">
        <v>0.78125</v>
      </c>
    </row>
    <row r="62" spans="1:9" x14ac:dyDescent="0.3">
      <c r="A62" t="s">
        <v>10</v>
      </c>
      <c r="B62" t="s">
        <v>46</v>
      </c>
      <c r="C62" t="s">
        <v>49</v>
      </c>
      <c r="D62">
        <v>2</v>
      </c>
      <c r="E62">
        <v>35000</v>
      </c>
      <c r="F62">
        <f>Table1[[#This Row],[Qty]]*Table1[[#This Row],[Price]]</f>
        <v>70000</v>
      </c>
      <c r="G62" t="s">
        <v>5</v>
      </c>
      <c r="H62" t="str">
        <f t="shared" si="0"/>
        <v>Bình thường</v>
      </c>
      <c r="I62" s="1">
        <v>0.91319444444444442</v>
      </c>
    </row>
    <row r="63" spans="1:9" x14ac:dyDescent="0.3">
      <c r="A63" t="s">
        <v>20</v>
      </c>
      <c r="B63" t="s">
        <v>28</v>
      </c>
      <c r="C63" t="s">
        <v>51</v>
      </c>
      <c r="D63">
        <v>2</v>
      </c>
      <c r="E63">
        <v>5000</v>
      </c>
      <c r="F63">
        <f>Table1[[#This Row],[Qty]]*Table1[[#This Row],[Price]]</f>
        <v>10000</v>
      </c>
      <c r="G63" t="s">
        <v>5</v>
      </c>
      <c r="H63" t="str">
        <f t="shared" si="0"/>
        <v>Bình thường</v>
      </c>
      <c r="I63" s="1">
        <v>0.85763888888888884</v>
      </c>
    </row>
    <row r="64" spans="1:9" x14ac:dyDescent="0.3">
      <c r="A64" t="s">
        <v>6</v>
      </c>
      <c r="B64" t="s">
        <v>39</v>
      </c>
      <c r="C64" t="s">
        <v>52</v>
      </c>
      <c r="D64">
        <v>5</v>
      </c>
      <c r="E64">
        <v>35000</v>
      </c>
      <c r="F64">
        <f>Table1[[#This Row],[Qty]]*Table1[[#This Row],[Price]]</f>
        <v>175000</v>
      </c>
      <c r="G64" t="s">
        <v>4</v>
      </c>
      <c r="H64" t="str">
        <f t="shared" si="0"/>
        <v>Cao điểm</v>
      </c>
      <c r="I64" s="1">
        <v>0.50694444444444442</v>
      </c>
    </row>
    <row r="65" spans="1:9" x14ac:dyDescent="0.3">
      <c r="A65" t="s">
        <v>6</v>
      </c>
      <c r="B65" t="s">
        <v>39</v>
      </c>
      <c r="C65" t="s">
        <v>52</v>
      </c>
      <c r="D65">
        <v>2</v>
      </c>
      <c r="E65">
        <v>35000</v>
      </c>
      <c r="F65">
        <f>Table1[[#This Row],[Qty]]*Table1[[#This Row],[Price]]</f>
        <v>70000</v>
      </c>
      <c r="G65" t="s">
        <v>5</v>
      </c>
      <c r="H65" t="str">
        <f t="shared" si="0"/>
        <v>Cao điểm</v>
      </c>
      <c r="I65" s="1">
        <v>0.82777777777777772</v>
      </c>
    </row>
    <row r="66" spans="1:9" x14ac:dyDescent="0.3">
      <c r="A66" t="s">
        <v>23</v>
      </c>
      <c r="B66" t="s">
        <v>45</v>
      </c>
      <c r="C66" t="s">
        <v>49</v>
      </c>
      <c r="D66">
        <v>3</v>
      </c>
      <c r="E66">
        <v>50000</v>
      </c>
      <c r="F66">
        <f>Table1[[#This Row],[Qty]]*Table1[[#This Row],[Price]]</f>
        <v>150000</v>
      </c>
      <c r="G66" t="s">
        <v>5</v>
      </c>
      <c r="H66" t="str">
        <f t="shared" ref="H66:H129" si="1">IF(OR(AND(HOUR(I66)&gt;=11, HOUR(I66)&lt;13), AND(HOUR(I66)&gt;=18, HOUR(I66)&lt;20)), "Cao điểm", "Bình thường")</f>
        <v>Bình thường</v>
      </c>
      <c r="I66" s="1">
        <v>0.85347222222222219</v>
      </c>
    </row>
    <row r="67" spans="1:9" x14ac:dyDescent="0.3">
      <c r="A67" t="s">
        <v>11</v>
      </c>
      <c r="B67" t="s">
        <v>41</v>
      </c>
      <c r="C67" t="s">
        <v>51</v>
      </c>
      <c r="D67">
        <v>3</v>
      </c>
      <c r="E67">
        <v>20000</v>
      </c>
      <c r="F67">
        <f>Table1[[#This Row],[Qty]]*Table1[[#This Row],[Price]]</f>
        <v>60000</v>
      </c>
      <c r="G67" t="s">
        <v>4</v>
      </c>
      <c r="H67" t="str">
        <f t="shared" si="1"/>
        <v>Bình thường</v>
      </c>
      <c r="I67" s="1">
        <v>0.43888888888888888</v>
      </c>
    </row>
    <row r="68" spans="1:9" x14ac:dyDescent="0.3">
      <c r="A68" t="s">
        <v>6</v>
      </c>
      <c r="B68" t="s">
        <v>39</v>
      </c>
      <c r="C68" t="s">
        <v>52</v>
      </c>
      <c r="D68">
        <v>3</v>
      </c>
      <c r="E68">
        <v>35000</v>
      </c>
      <c r="F68">
        <f>Table1[[#This Row],[Qty]]*Table1[[#This Row],[Price]]</f>
        <v>105000</v>
      </c>
      <c r="G68" t="s">
        <v>4</v>
      </c>
      <c r="H68" t="str">
        <f t="shared" si="1"/>
        <v>Bình thường</v>
      </c>
      <c r="I68" s="1">
        <v>0.39513888888888887</v>
      </c>
    </row>
    <row r="69" spans="1:9" x14ac:dyDescent="0.3">
      <c r="A69" t="s">
        <v>6</v>
      </c>
      <c r="B69" t="s">
        <v>29</v>
      </c>
      <c r="C69" t="s">
        <v>49</v>
      </c>
      <c r="D69">
        <v>5</v>
      </c>
      <c r="E69">
        <v>65000</v>
      </c>
      <c r="F69">
        <f>Table1[[#This Row],[Qty]]*Table1[[#This Row],[Price]]</f>
        <v>325000</v>
      </c>
      <c r="G69" t="s">
        <v>4</v>
      </c>
      <c r="H69" t="str">
        <f t="shared" si="1"/>
        <v>Bình thường</v>
      </c>
      <c r="I69" s="1">
        <v>0.43958333333333333</v>
      </c>
    </row>
    <row r="70" spans="1:9" x14ac:dyDescent="0.3">
      <c r="A70" t="s">
        <v>22</v>
      </c>
      <c r="B70" t="s">
        <v>47</v>
      </c>
      <c r="C70" t="s">
        <v>52</v>
      </c>
      <c r="D70">
        <v>3</v>
      </c>
      <c r="E70">
        <v>20000</v>
      </c>
      <c r="F70">
        <f>Table1[[#This Row],[Qty]]*Table1[[#This Row],[Price]]</f>
        <v>60000</v>
      </c>
      <c r="G70" t="s">
        <v>5</v>
      </c>
      <c r="H70" t="str">
        <f t="shared" si="1"/>
        <v>Bình thường</v>
      </c>
      <c r="I70" s="1">
        <v>0.72291666666666665</v>
      </c>
    </row>
    <row r="71" spans="1:9" x14ac:dyDescent="0.3">
      <c r="A71" t="s">
        <v>7</v>
      </c>
      <c r="B71" t="s">
        <v>42</v>
      </c>
      <c r="C71" t="s">
        <v>49</v>
      </c>
      <c r="D71">
        <v>4</v>
      </c>
      <c r="E71">
        <v>60000</v>
      </c>
      <c r="F71">
        <f>Table1[[#This Row],[Qty]]*Table1[[#This Row],[Price]]</f>
        <v>240000</v>
      </c>
      <c r="G71" t="s">
        <v>5</v>
      </c>
      <c r="H71" t="str">
        <f t="shared" si="1"/>
        <v>Cao điểm</v>
      </c>
      <c r="I71" s="1">
        <v>0.78680555555555554</v>
      </c>
    </row>
    <row r="72" spans="1:9" x14ac:dyDescent="0.3">
      <c r="A72" t="s">
        <v>20</v>
      </c>
      <c r="B72" t="s">
        <v>43</v>
      </c>
      <c r="C72" t="s">
        <v>51</v>
      </c>
      <c r="D72">
        <v>3</v>
      </c>
      <c r="E72">
        <v>25000</v>
      </c>
      <c r="F72">
        <f>Table1[[#This Row],[Qty]]*Table1[[#This Row],[Price]]</f>
        <v>75000</v>
      </c>
      <c r="G72" t="s">
        <v>5</v>
      </c>
      <c r="H72" t="str">
        <f t="shared" si="1"/>
        <v>Bình thường</v>
      </c>
      <c r="I72" s="1">
        <v>0.72361111111111109</v>
      </c>
    </row>
    <row r="73" spans="1:9" x14ac:dyDescent="0.3">
      <c r="A73" t="s">
        <v>6</v>
      </c>
      <c r="B73" t="s">
        <v>36</v>
      </c>
      <c r="C73" t="s">
        <v>50</v>
      </c>
      <c r="D73">
        <v>3</v>
      </c>
      <c r="E73">
        <v>22000</v>
      </c>
      <c r="F73">
        <f>Table1[[#This Row],[Qty]]*Table1[[#This Row],[Price]]</f>
        <v>66000</v>
      </c>
      <c r="G73" t="s">
        <v>5</v>
      </c>
      <c r="H73" t="str">
        <f t="shared" si="1"/>
        <v>Bình thường</v>
      </c>
      <c r="I73" s="1">
        <v>0.72222222222222221</v>
      </c>
    </row>
    <row r="74" spans="1:9" x14ac:dyDescent="0.3">
      <c r="A74" t="s">
        <v>14</v>
      </c>
      <c r="B74" t="s">
        <v>43</v>
      </c>
      <c r="C74" t="s">
        <v>51</v>
      </c>
      <c r="D74">
        <v>5</v>
      </c>
      <c r="E74">
        <v>25000</v>
      </c>
      <c r="F74">
        <f>Table1[[#This Row],[Qty]]*Table1[[#This Row],[Price]]</f>
        <v>125000</v>
      </c>
      <c r="G74" t="s">
        <v>5</v>
      </c>
      <c r="H74" t="str">
        <f t="shared" si="1"/>
        <v>Bình thường</v>
      </c>
      <c r="I74" s="1">
        <v>0.89583333333333337</v>
      </c>
    </row>
    <row r="75" spans="1:9" x14ac:dyDescent="0.3">
      <c r="A75" t="s">
        <v>6</v>
      </c>
      <c r="B75" t="s">
        <v>46</v>
      </c>
      <c r="C75" t="s">
        <v>49</v>
      </c>
      <c r="D75">
        <v>4</v>
      </c>
      <c r="E75">
        <v>35000</v>
      </c>
      <c r="F75">
        <f>Table1[[#This Row],[Qty]]*Table1[[#This Row],[Price]]</f>
        <v>140000</v>
      </c>
      <c r="G75" t="s">
        <v>5</v>
      </c>
      <c r="H75" t="str">
        <f t="shared" si="1"/>
        <v>Bình thường</v>
      </c>
      <c r="I75" s="1">
        <v>0.89236111111111116</v>
      </c>
    </row>
    <row r="76" spans="1:9" x14ac:dyDescent="0.3">
      <c r="A76" t="s">
        <v>8</v>
      </c>
      <c r="B76" t="s">
        <v>41</v>
      </c>
      <c r="C76" t="s">
        <v>51</v>
      </c>
      <c r="D76">
        <v>3</v>
      </c>
      <c r="E76">
        <v>20000</v>
      </c>
      <c r="F76">
        <f>Table1[[#This Row],[Qty]]*Table1[[#This Row],[Price]]</f>
        <v>60000</v>
      </c>
      <c r="G76" t="s">
        <v>5</v>
      </c>
      <c r="H76" t="str">
        <f t="shared" si="1"/>
        <v>Bình thường</v>
      </c>
      <c r="I76" s="1">
        <v>0.74305555555555558</v>
      </c>
    </row>
    <row r="77" spans="1:9" x14ac:dyDescent="0.3">
      <c r="A77" t="s">
        <v>14</v>
      </c>
      <c r="B77" t="s">
        <v>36</v>
      </c>
      <c r="C77" t="s">
        <v>50</v>
      </c>
      <c r="D77">
        <v>3</v>
      </c>
      <c r="E77">
        <v>22000</v>
      </c>
      <c r="F77">
        <f>Table1[[#This Row],[Qty]]*Table1[[#This Row],[Price]]</f>
        <v>66000</v>
      </c>
      <c r="G77" t="s">
        <v>4</v>
      </c>
      <c r="H77" t="str">
        <f t="shared" si="1"/>
        <v>Bình thường</v>
      </c>
      <c r="I77" s="1">
        <v>0.43680555555555556</v>
      </c>
    </row>
    <row r="78" spans="1:9" x14ac:dyDescent="0.3">
      <c r="A78" t="s">
        <v>15</v>
      </c>
      <c r="B78" t="s">
        <v>36</v>
      </c>
      <c r="C78" t="s">
        <v>50</v>
      </c>
      <c r="D78">
        <v>4</v>
      </c>
      <c r="E78">
        <v>22000</v>
      </c>
      <c r="F78">
        <f>Table1[[#This Row],[Qty]]*Table1[[#This Row],[Price]]</f>
        <v>88000</v>
      </c>
      <c r="G78" t="s">
        <v>4</v>
      </c>
      <c r="H78" t="str">
        <f t="shared" si="1"/>
        <v>Bình thường</v>
      </c>
      <c r="I78" s="1">
        <v>0.33333333333333331</v>
      </c>
    </row>
    <row r="79" spans="1:9" x14ac:dyDescent="0.3">
      <c r="A79" t="s">
        <v>25</v>
      </c>
      <c r="B79" t="s">
        <v>48</v>
      </c>
      <c r="C79" t="s">
        <v>49</v>
      </c>
      <c r="D79">
        <v>5</v>
      </c>
      <c r="E79">
        <v>50000</v>
      </c>
      <c r="F79">
        <f>Table1[[#This Row],[Qty]]*Table1[[#This Row],[Price]]</f>
        <v>250000</v>
      </c>
      <c r="G79" t="s">
        <v>5</v>
      </c>
      <c r="H79" t="str">
        <f t="shared" si="1"/>
        <v>Cao điểm</v>
      </c>
      <c r="I79" s="1">
        <v>0.77013888888888893</v>
      </c>
    </row>
    <row r="80" spans="1:9" x14ac:dyDescent="0.3">
      <c r="A80" t="s">
        <v>23</v>
      </c>
      <c r="B80" t="s">
        <v>47</v>
      </c>
      <c r="C80" t="s">
        <v>52</v>
      </c>
      <c r="D80">
        <v>3</v>
      </c>
      <c r="E80">
        <v>20000</v>
      </c>
      <c r="F80">
        <f>Table1[[#This Row],[Qty]]*Table1[[#This Row],[Price]]</f>
        <v>60000</v>
      </c>
      <c r="G80" t="s">
        <v>4</v>
      </c>
      <c r="H80" t="str">
        <f t="shared" si="1"/>
        <v>Cao điểm</v>
      </c>
      <c r="I80" s="1">
        <v>0.51944444444444449</v>
      </c>
    </row>
    <row r="81" spans="1:9" x14ac:dyDescent="0.3">
      <c r="A81" t="s">
        <v>23</v>
      </c>
      <c r="B81" t="s">
        <v>45</v>
      </c>
      <c r="C81" t="s">
        <v>49</v>
      </c>
      <c r="D81">
        <v>4</v>
      </c>
      <c r="E81">
        <v>50000</v>
      </c>
      <c r="F81">
        <f>Table1[[#This Row],[Qty]]*Table1[[#This Row],[Price]]</f>
        <v>200000</v>
      </c>
      <c r="G81" t="s">
        <v>5</v>
      </c>
      <c r="H81" t="str">
        <f t="shared" si="1"/>
        <v>Bình thường</v>
      </c>
      <c r="I81" s="1">
        <v>0.87638888888888888</v>
      </c>
    </row>
    <row r="82" spans="1:9" x14ac:dyDescent="0.3">
      <c r="A82" t="s">
        <v>19</v>
      </c>
      <c r="B82" t="s">
        <v>27</v>
      </c>
      <c r="C82" t="s">
        <v>50</v>
      </c>
      <c r="D82">
        <v>1</v>
      </c>
      <c r="E82">
        <v>18000</v>
      </c>
      <c r="F82">
        <f>Table1[[#This Row],[Qty]]*Table1[[#This Row],[Price]]</f>
        <v>18000</v>
      </c>
      <c r="G82" t="s">
        <v>4</v>
      </c>
      <c r="H82" t="str">
        <f t="shared" si="1"/>
        <v>Cao điểm</v>
      </c>
      <c r="I82" s="1">
        <v>0.50138888888888888</v>
      </c>
    </row>
    <row r="83" spans="1:9" x14ac:dyDescent="0.3">
      <c r="A83" t="s">
        <v>22</v>
      </c>
      <c r="B83" t="s">
        <v>44</v>
      </c>
      <c r="C83" t="s">
        <v>51</v>
      </c>
      <c r="D83">
        <v>3</v>
      </c>
      <c r="E83">
        <v>30000</v>
      </c>
      <c r="F83">
        <f>Table1[[#This Row],[Qty]]*Table1[[#This Row],[Price]]</f>
        <v>90000</v>
      </c>
      <c r="G83" t="s">
        <v>5</v>
      </c>
      <c r="H83" t="str">
        <f t="shared" si="1"/>
        <v>Bình thường</v>
      </c>
      <c r="I83" s="1">
        <v>0.85902777777777772</v>
      </c>
    </row>
    <row r="84" spans="1:9" x14ac:dyDescent="0.3">
      <c r="A84" t="s">
        <v>6</v>
      </c>
      <c r="B84" t="s">
        <v>30</v>
      </c>
      <c r="C84" t="s">
        <v>49</v>
      </c>
      <c r="D84">
        <v>3</v>
      </c>
      <c r="E84">
        <v>55000</v>
      </c>
      <c r="F84">
        <f>Table1[[#This Row],[Qty]]*Table1[[#This Row],[Price]]</f>
        <v>165000</v>
      </c>
      <c r="G84" t="s">
        <v>5</v>
      </c>
      <c r="H84" t="str">
        <f t="shared" si="1"/>
        <v>Bình thường</v>
      </c>
      <c r="I84" s="1">
        <v>0.87291666666666667</v>
      </c>
    </row>
    <row r="85" spans="1:9" x14ac:dyDescent="0.3">
      <c r="A85" t="s">
        <v>10</v>
      </c>
      <c r="B85" t="s">
        <v>43</v>
      </c>
      <c r="C85" t="s">
        <v>51</v>
      </c>
      <c r="D85">
        <v>3</v>
      </c>
      <c r="E85">
        <v>25000</v>
      </c>
      <c r="F85">
        <f>Table1[[#This Row],[Qty]]*Table1[[#This Row],[Price]]</f>
        <v>75000</v>
      </c>
      <c r="G85" t="s">
        <v>4</v>
      </c>
      <c r="H85" t="str">
        <f t="shared" si="1"/>
        <v>Bình thường</v>
      </c>
      <c r="I85" s="1">
        <v>0.29444444444444445</v>
      </c>
    </row>
    <row r="86" spans="1:9" x14ac:dyDescent="0.3">
      <c r="A86" t="s">
        <v>24</v>
      </c>
      <c r="B86" t="s">
        <v>27</v>
      </c>
      <c r="C86" t="s">
        <v>50</v>
      </c>
      <c r="D86">
        <v>1</v>
      </c>
      <c r="E86">
        <v>18000</v>
      </c>
      <c r="F86">
        <f>Table1[[#This Row],[Qty]]*Table1[[#This Row],[Price]]</f>
        <v>18000</v>
      </c>
      <c r="G86" t="s">
        <v>4</v>
      </c>
      <c r="H86" t="str">
        <f t="shared" si="1"/>
        <v>Bình thường</v>
      </c>
      <c r="I86" s="1">
        <v>0.29375000000000001</v>
      </c>
    </row>
    <row r="87" spans="1:9" x14ac:dyDescent="0.3">
      <c r="A87" t="s">
        <v>8</v>
      </c>
      <c r="B87" t="s">
        <v>41</v>
      </c>
      <c r="C87" t="s">
        <v>51</v>
      </c>
      <c r="D87">
        <v>4</v>
      </c>
      <c r="E87">
        <v>20000</v>
      </c>
      <c r="F87">
        <f>Table1[[#This Row],[Qty]]*Table1[[#This Row],[Price]]</f>
        <v>80000</v>
      </c>
      <c r="G87" t="s">
        <v>4</v>
      </c>
      <c r="H87" t="str">
        <f t="shared" si="1"/>
        <v>Bình thường</v>
      </c>
      <c r="I87" s="1">
        <v>0.33541666666666664</v>
      </c>
    </row>
    <row r="88" spans="1:9" x14ac:dyDescent="0.3">
      <c r="A88" t="s">
        <v>23</v>
      </c>
      <c r="B88" t="s">
        <v>38</v>
      </c>
      <c r="C88" t="s">
        <v>52</v>
      </c>
      <c r="D88">
        <v>4</v>
      </c>
      <c r="E88">
        <v>30000</v>
      </c>
      <c r="F88">
        <f>Table1[[#This Row],[Qty]]*Table1[[#This Row],[Price]]</f>
        <v>120000</v>
      </c>
      <c r="G88" t="s">
        <v>5</v>
      </c>
      <c r="H88" t="str">
        <f t="shared" si="1"/>
        <v>Cao điểm</v>
      </c>
      <c r="I88" s="1">
        <v>0.75486111111111109</v>
      </c>
    </row>
    <row r="89" spans="1:9" x14ac:dyDescent="0.3">
      <c r="A89" t="s">
        <v>19</v>
      </c>
      <c r="B89" t="s">
        <v>35</v>
      </c>
      <c r="C89" t="s">
        <v>50</v>
      </c>
      <c r="D89">
        <v>1</v>
      </c>
      <c r="E89">
        <v>20000</v>
      </c>
      <c r="F89">
        <f>Table1[[#This Row],[Qty]]*Table1[[#This Row],[Price]]</f>
        <v>20000</v>
      </c>
      <c r="G89" t="s">
        <v>4</v>
      </c>
      <c r="H89" t="str">
        <f t="shared" si="1"/>
        <v>Bình thường</v>
      </c>
      <c r="I89" s="1">
        <v>0.45763888888888887</v>
      </c>
    </row>
    <row r="90" spans="1:9" x14ac:dyDescent="0.3">
      <c r="A90" t="s">
        <v>25</v>
      </c>
      <c r="B90" t="s">
        <v>42</v>
      </c>
      <c r="C90" t="s">
        <v>49</v>
      </c>
      <c r="D90">
        <v>1</v>
      </c>
      <c r="E90">
        <v>60000</v>
      </c>
      <c r="F90">
        <f>Table1[[#This Row],[Qty]]*Table1[[#This Row],[Price]]</f>
        <v>60000</v>
      </c>
      <c r="G90" t="s">
        <v>4</v>
      </c>
      <c r="H90" t="str">
        <f t="shared" si="1"/>
        <v>Cao điểm</v>
      </c>
      <c r="I90" s="1">
        <v>0.46805555555555556</v>
      </c>
    </row>
    <row r="91" spans="1:9" x14ac:dyDescent="0.3">
      <c r="A91" t="s">
        <v>22</v>
      </c>
      <c r="B91" t="s">
        <v>28</v>
      </c>
      <c r="C91" t="s">
        <v>51</v>
      </c>
      <c r="D91">
        <v>3</v>
      </c>
      <c r="E91">
        <v>5000</v>
      </c>
      <c r="F91">
        <f>Table1[[#This Row],[Qty]]*Table1[[#This Row],[Price]]</f>
        <v>15000</v>
      </c>
      <c r="G91" t="s">
        <v>4</v>
      </c>
      <c r="H91" t="str">
        <f t="shared" si="1"/>
        <v>Bình thường</v>
      </c>
      <c r="I91" s="1">
        <v>0.38263888888888886</v>
      </c>
    </row>
    <row r="92" spans="1:9" x14ac:dyDescent="0.3">
      <c r="A92" t="s">
        <v>22</v>
      </c>
      <c r="B92" t="s">
        <v>31</v>
      </c>
      <c r="C92" t="s">
        <v>52</v>
      </c>
      <c r="D92">
        <v>3</v>
      </c>
      <c r="E92">
        <v>45000</v>
      </c>
      <c r="F92">
        <f>Table1[[#This Row],[Qty]]*Table1[[#This Row],[Price]]</f>
        <v>135000</v>
      </c>
      <c r="G92" t="s">
        <v>4</v>
      </c>
      <c r="H92" t="str">
        <f t="shared" si="1"/>
        <v>Bình thường</v>
      </c>
      <c r="I92" s="1">
        <v>0.34930555555555554</v>
      </c>
    </row>
    <row r="93" spans="1:9" x14ac:dyDescent="0.3">
      <c r="A93" t="s">
        <v>18</v>
      </c>
      <c r="B93" t="s">
        <v>40</v>
      </c>
      <c r="C93" t="s">
        <v>49</v>
      </c>
      <c r="D93">
        <v>4</v>
      </c>
      <c r="E93">
        <v>55000</v>
      </c>
      <c r="F93">
        <f>Table1[[#This Row],[Qty]]*Table1[[#This Row],[Price]]</f>
        <v>220000</v>
      </c>
      <c r="G93" t="s">
        <v>4</v>
      </c>
      <c r="H93" t="str">
        <f t="shared" si="1"/>
        <v>Bình thường</v>
      </c>
      <c r="I93" s="1">
        <v>0.35625000000000001</v>
      </c>
    </row>
    <row r="94" spans="1:9" x14ac:dyDescent="0.3">
      <c r="A94" t="s">
        <v>20</v>
      </c>
      <c r="B94" t="s">
        <v>48</v>
      </c>
      <c r="C94" t="s">
        <v>49</v>
      </c>
      <c r="D94">
        <v>1</v>
      </c>
      <c r="E94">
        <v>50000</v>
      </c>
      <c r="F94">
        <f>Table1[[#This Row],[Qty]]*Table1[[#This Row],[Price]]</f>
        <v>50000</v>
      </c>
      <c r="G94" t="s">
        <v>4</v>
      </c>
      <c r="H94" t="str">
        <f t="shared" si="1"/>
        <v>Bình thường</v>
      </c>
      <c r="I94" s="1">
        <v>0.3576388888888889</v>
      </c>
    </row>
    <row r="95" spans="1:9" x14ac:dyDescent="0.3">
      <c r="A95" t="s">
        <v>10</v>
      </c>
      <c r="B95" t="s">
        <v>30</v>
      </c>
      <c r="C95" t="s">
        <v>49</v>
      </c>
      <c r="D95">
        <v>5</v>
      </c>
      <c r="E95">
        <v>55000</v>
      </c>
      <c r="F95">
        <f>Table1[[#This Row],[Qty]]*Table1[[#This Row],[Price]]</f>
        <v>275000</v>
      </c>
      <c r="G95" t="s">
        <v>4</v>
      </c>
      <c r="H95" t="str">
        <f t="shared" si="1"/>
        <v>Bình thường</v>
      </c>
      <c r="I95" s="1">
        <v>0.32222222222222224</v>
      </c>
    </row>
    <row r="96" spans="1:9" x14ac:dyDescent="0.3">
      <c r="A96" t="s">
        <v>20</v>
      </c>
      <c r="B96" t="s">
        <v>37</v>
      </c>
      <c r="C96" t="s">
        <v>51</v>
      </c>
      <c r="D96">
        <v>1</v>
      </c>
      <c r="E96">
        <v>15000</v>
      </c>
      <c r="F96">
        <f>Table1[[#This Row],[Qty]]*Table1[[#This Row],[Price]]</f>
        <v>15000</v>
      </c>
      <c r="G96" t="s">
        <v>5</v>
      </c>
      <c r="H96" t="str">
        <f t="shared" si="1"/>
        <v>Bình thường</v>
      </c>
      <c r="I96" s="1">
        <v>0.84652777777777777</v>
      </c>
    </row>
    <row r="97" spans="1:9" x14ac:dyDescent="0.3">
      <c r="A97" t="s">
        <v>21</v>
      </c>
      <c r="B97" t="s">
        <v>26</v>
      </c>
      <c r="C97" t="s">
        <v>49</v>
      </c>
      <c r="D97">
        <v>2</v>
      </c>
      <c r="E97">
        <v>45000</v>
      </c>
      <c r="F97">
        <f>Table1[[#This Row],[Qty]]*Table1[[#This Row],[Price]]</f>
        <v>90000</v>
      </c>
      <c r="G97" t="s">
        <v>5</v>
      </c>
      <c r="H97" t="str">
        <f t="shared" si="1"/>
        <v>Bình thường</v>
      </c>
      <c r="I97" s="1">
        <v>0.84027777777777779</v>
      </c>
    </row>
    <row r="98" spans="1:9" x14ac:dyDescent="0.3">
      <c r="A98" t="s">
        <v>20</v>
      </c>
      <c r="B98" t="s">
        <v>48</v>
      </c>
      <c r="C98" t="s">
        <v>49</v>
      </c>
      <c r="D98">
        <v>3</v>
      </c>
      <c r="E98">
        <v>50000</v>
      </c>
      <c r="F98">
        <f>Table1[[#This Row],[Qty]]*Table1[[#This Row],[Price]]</f>
        <v>150000</v>
      </c>
      <c r="G98" t="s">
        <v>5</v>
      </c>
      <c r="H98" t="str">
        <f t="shared" si="1"/>
        <v>Cao điểm</v>
      </c>
      <c r="I98" s="1">
        <v>0.79374999999999996</v>
      </c>
    </row>
    <row r="99" spans="1:9" x14ac:dyDescent="0.3">
      <c r="A99" t="s">
        <v>15</v>
      </c>
      <c r="B99" t="s">
        <v>34</v>
      </c>
      <c r="C99" t="s">
        <v>51</v>
      </c>
      <c r="D99">
        <v>4</v>
      </c>
      <c r="E99">
        <v>25000</v>
      </c>
      <c r="F99">
        <f>Table1[[#This Row],[Qty]]*Table1[[#This Row],[Price]]</f>
        <v>100000</v>
      </c>
      <c r="G99" t="s">
        <v>5</v>
      </c>
      <c r="H99" t="str">
        <f t="shared" si="1"/>
        <v>Bình thường</v>
      </c>
      <c r="I99" s="1">
        <v>0.85555555555555551</v>
      </c>
    </row>
    <row r="100" spans="1:9" x14ac:dyDescent="0.3">
      <c r="A100" t="s">
        <v>11</v>
      </c>
      <c r="B100" t="s">
        <v>45</v>
      </c>
      <c r="C100" t="s">
        <v>49</v>
      </c>
      <c r="D100">
        <v>3</v>
      </c>
      <c r="E100">
        <v>50000</v>
      </c>
      <c r="F100">
        <f>Table1[[#This Row],[Qty]]*Table1[[#This Row],[Price]]</f>
        <v>150000</v>
      </c>
      <c r="G100" t="s">
        <v>5</v>
      </c>
      <c r="H100" t="str">
        <f t="shared" si="1"/>
        <v>Cao điểm</v>
      </c>
      <c r="I100" s="1">
        <v>0.76527777777777772</v>
      </c>
    </row>
    <row r="101" spans="1:9" x14ac:dyDescent="0.3">
      <c r="A101" t="s">
        <v>12</v>
      </c>
      <c r="B101" t="s">
        <v>45</v>
      </c>
      <c r="C101" t="s">
        <v>49</v>
      </c>
      <c r="D101">
        <v>4</v>
      </c>
      <c r="E101">
        <v>50000</v>
      </c>
      <c r="F101">
        <f>Table1[[#This Row],[Qty]]*Table1[[#This Row],[Price]]</f>
        <v>200000</v>
      </c>
      <c r="G101" t="s">
        <v>4</v>
      </c>
      <c r="H101" t="str">
        <f t="shared" si="1"/>
        <v>Bình thường</v>
      </c>
      <c r="I101" s="1">
        <v>0.33750000000000002</v>
      </c>
    </row>
    <row r="102" spans="1:9" x14ac:dyDescent="0.3">
      <c r="A102" t="s">
        <v>16</v>
      </c>
      <c r="B102" t="s">
        <v>37</v>
      </c>
      <c r="C102" t="s">
        <v>51</v>
      </c>
      <c r="D102">
        <v>3</v>
      </c>
      <c r="E102">
        <v>15000</v>
      </c>
      <c r="F102">
        <f>Table1[[#This Row],[Qty]]*Table1[[#This Row],[Price]]</f>
        <v>45000</v>
      </c>
      <c r="G102" t="s">
        <v>4</v>
      </c>
      <c r="H102" t="str">
        <f t="shared" si="1"/>
        <v>Bình thường</v>
      </c>
      <c r="I102" s="1">
        <v>0.54305555555555551</v>
      </c>
    </row>
    <row r="103" spans="1:9" x14ac:dyDescent="0.3">
      <c r="A103" t="s">
        <v>9</v>
      </c>
      <c r="B103" t="s">
        <v>43</v>
      </c>
      <c r="C103" t="s">
        <v>51</v>
      </c>
      <c r="D103">
        <v>1</v>
      </c>
      <c r="E103">
        <v>25000</v>
      </c>
      <c r="F103">
        <f>Table1[[#This Row],[Qty]]*Table1[[#This Row],[Price]]</f>
        <v>25000</v>
      </c>
      <c r="G103" t="s">
        <v>4</v>
      </c>
      <c r="H103" t="str">
        <f t="shared" si="1"/>
        <v>Bình thường</v>
      </c>
      <c r="I103" s="1">
        <v>0.32430555555555557</v>
      </c>
    </row>
    <row r="104" spans="1:9" x14ac:dyDescent="0.3">
      <c r="A104" t="s">
        <v>23</v>
      </c>
      <c r="B104" t="s">
        <v>28</v>
      </c>
      <c r="C104" t="s">
        <v>51</v>
      </c>
      <c r="D104">
        <v>2</v>
      </c>
      <c r="E104">
        <v>5000</v>
      </c>
      <c r="F104">
        <f>Table1[[#This Row],[Qty]]*Table1[[#This Row],[Price]]</f>
        <v>10000</v>
      </c>
      <c r="G104" t="s">
        <v>4</v>
      </c>
      <c r="H104" t="str">
        <f t="shared" si="1"/>
        <v>Bình thường</v>
      </c>
      <c r="I104" s="1">
        <v>0.37708333333333333</v>
      </c>
    </row>
    <row r="105" spans="1:9" x14ac:dyDescent="0.3">
      <c r="A105" t="s">
        <v>25</v>
      </c>
      <c r="B105" t="s">
        <v>28</v>
      </c>
      <c r="C105" t="s">
        <v>51</v>
      </c>
      <c r="D105">
        <v>4</v>
      </c>
      <c r="E105">
        <v>5000</v>
      </c>
      <c r="F105">
        <f>Table1[[#This Row],[Qty]]*Table1[[#This Row],[Price]]</f>
        <v>20000</v>
      </c>
      <c r="G105" t="s">
        <v>4</v>
      </c>
      <c r="H105" t="str">
        <f t="shared" si="1"/>
        <v>Bình thường</v>
      </c>
      <c r="I105" s="1">
        <v>0.3215277777777778</v>
      </c>
    </row>
    <row r="106" spans="1:9" x14ac:dyDescent="0.3">
      <c r="A106" t="s">
        <v>17</v>
      </c>
      <c r="B106" t="s">
        <v>40</v>
      </c>
      <c r="C106" t="s">
        <v>49</v>
      </c>
      <c r="D106">
        <v>4</v>
      </c>
      <c r="E106">
        <v>55000</v>
      </c>
      <c r="F106">
        <f>Table1[[#This Row],[Qty]]*Table1[[#This Row],[Price]]</f>
        <v>220000</v>
      </c>
      <c r="G106" t="s">
        <v>5</v>
      </c>
      <c r="H106" t="str">
        <f t="shared" si="1"/>
        <v>Bình thường</v>
      </c>
      <c r="I106" s="1">
        <v>0.87569444444444444</v>
      </c>
    </row>
    <row r="107" spans="1:9" x14ac:dyDescent="0.3">
      <c r="A107" t="s">
        <v>16</v>
      </c>
      <c r="B107" t="s">
        <v>31</v>
      </c>
      <c r="C107" t="s">
        <v>52</v>
      </c>
      <c r="D107">
        <v>4</v>
      </c>
      <c r="E107">
        <v>45000</v>
      </c>
      <c r="F107">
        <f>Table1[[#This Row],[Qty]]*Table1[[#This Row],[Price]]</f>
        <v>180000</v>
      </c>
      <c r="G107" t="s">
        <v>4</v>
      </c>
      <c r="H107" t="str">
        <f t="shared" si="1"/>
        <v>Bình thường</v>
      </c>
      <c r="I107" s="1">
        <v>0.44791666666666669</v>
      </c>
    </row>
    <row r="108" spans="1:9" x14ac:dyDescent="0.3">
      <c r="A108" t="s">
        <v>25</v>
      </c>
      <c r="B108" t="s">
        <v>46</v>
      </c>
      <c r="C108" t="s">
        <v>49</v>
      </c>
      <c r="D108">
        <v>5</v>
      </c>
      <c r="E108">
        <v>35000</v>
      </c>
      <c r="F108">
        <f>Table1[[#This Row],[Qty]]*Table1[[#This Row],[Price]]</f>
        <v>175000</v>
      </c>
      <c r="G108" t="s">
        <v>4</v>
      </c>
      <c r="H108" t="str">
        <f t="shared" si="1"/>
        <v>Cao điểm</v>
      </c>
      <c r="I108" s="1">
        <v>0.4826388888888889</v>
      </c>
    </row>
    <row r="109" spans="1:9" x14ac:dyDescent="0.3">
      <c r="A109" t="s">
        <v>20</v>
      </c>
      <c r="B109" t="s">
        <v>29</v>
      </c>
      <c r="C109" t="s">
        <v>49</v>
      </c>
      <c r="D109">
        <v>3</v>
      </c>
      <c r="E109">
        <v>65000</v>
      </c>
      <c r="F109">
        <f>Table1[[#This Row],[Qty]]*Table1[[#This Row],[Price]]</f>
        <v>195000</v>
      </c>
      <c r="G109" t="s">
        <v>5</v>
      </c>
      <c r="H109" t="str">
        <f t="shared" si="1"/>
        <v>Bình thường</v>
      </c>
      <c r="I109" s="1">
        <v>0.7319444444444444</v>
      </c>
    </row>
    <row r="110" spans="1:9" x14ac:dyDescent="0.3">
      <c r="A110" t="s">
        <v>17</v>
      </c>
      <c r="B110" t="s">
        <v>38</v>
      </c>
      <c r="C110" t="s">
        <v>52</v>
      </c>
      <c r="D110">
        <v>1</v>
      </c>
      <c r="E110">
        <v>30000</v>
      </c>
      <c r="F110">
        <f>Table1[[#This Row],[Qty]]*Table1[[#This Row],[Price]]</f>
        <v>30000</v>
      </c>
      <c r="G110" t="s">
        <v>5</v>
      </c>
      <c r="H110" t="str">
        <f t="shared" si="1"/>
        <v>Cao điểm</v>
      </c>
      <c r="I110" s="1">
        <v>0.76736111111111116</v>
      </c>
    </row>
    <row r="111" spans="1:9" x14ac:dyDescent="0.3">
      <c r="A111" t="s">
        <v>11</v>
      </c>
      <c r="B111" t="s">
        <v>33</v>
      </c>
      <c r="C111" t="s">
        <v>52</v>
      </c>
      <c r="D111">
        <v>2</v>
      </c>
      <c r="E111">
        <v>25000</v>
      </c>
      <c r="F111">
        <f>Table1[[#This Row],[Qty]]*Table1[[#This Row],[Price]]</f>
        <v>50000</v>
      </c>
      <c r="G111" t="s">
        <v>4</v>
      </c>
      <c r="H111" t="str">
        <f t="shared" si="1"/>
        <v>Bình thường</v>
      </c>
      <c r="I111" s="1">
        <v>0.31041666666666667</v>
      </c>
    </row>
    <row r="112" spans="1:9" x14ac:dyDescent="0.3">
      <c r="A112" t="s">
        <v>17</v>
      </c>
      <c r="B112" t="s">
        <v>42</v>
      </c>
      <c r="C112" t="s">
        <v>49</v>
      </c>
      <c r="D112">
        <v>2</v>
      </c>
      <c r="E112">
        <v>60000</v>
      </c>
      <c r="F112">
        <f>Table1[[#This Row],[Qty]]*Table1[[#This Row],[Price]]</f>
        <v>120000</v>
      </c>
      <c r="G112" t="s">
        <v>4</v>
      </c>
      <c r="H112" t="str">
        <f t="shared" si="1"/>
        <v>Bình thường</v>
      </c>
      <c r="I112" s="1">
        <v>0.42291666666666666</v>
      </c>
    </row>
    <row r="113" spans="1:9" x14ac:dyDescent="0.3">
      <c r="A113" t="s">
        <v>9</v>
      </c>
      <c r="B113" t="s">
        <v>38</v>
      </c>
      <c r="C113" t="s">
        <v>52</v>
      </c>
      <c r="D113">
        <v>4</v>
      </c>
      <c r="E113">
        <v>30000</v>
      </c>
      <c r="F113">
        <f>Table1[[#This Row],[Qty]]*Table1[[#This Row],[Price]]</f>
        <v>120000</v>
      </c>
      <c r="G113" t="s">
        <v>4</v>
      </c>
      <c r="H113" t="str">
        <f t="shared" si="1"/>
        <v>Bình thường</v>
      </c>
      <c r="I113" s="1">
        <v>0.3125</v>
      </c>
    </row>
    <row r="114" spans="1:9" x14ac:dyDescent="0.3">
      <c r="A114" t="s">
        <v>23</v>
      </c>
      <c r="B114" t="s">
        <v>44</v>
      </c>
      <c r="C114" t="s">
        <v>51</v>
      </c>
      <c r="D114">
        <v>1</v>
      </c>
      <c r="E114">
        <v>30000</v>
      </c>
      <c r="F114">
        <f>Table1[[#This Row],[Qty]]*Table1[[#This Row],[Price]]</f>
        <v>30000</v>
      </c>
      <c r="G114" t="s">
        <v>5</v>
      </c>
      <c r="H114" t="str">
        <f t="shared" si="1"/>
        <v>Bình thường</v>
      </c>
      <c r="I114" s="1">
        <v>0.90347222222222223</v>
      </c>
    </row>
    <row r="115" spans="1:9" x14ac:dyDescent="0.3">
      <c r="A115" t="s">
        <v>13</v>
      </c>
      <c r="B115" t="s">
        <v>29</v>
      </c>
      <c r="C115" t="s">
        <v>49</v>
      </c>
      <c r="D115">
        <v>5</v>
      </c>
      <c r="E115">
        <v>65000</v>
      </c>
      <c r="F115">
        <f>Table1[[#This Row],[Qty]]*Table1[[#This Row],[Price]]</f>
        <v>325000</v>
      </c>
      <c r="G115" t="s">
        <v>4</v>
      </c>
      <c r="H115" t="str">
        <f t="shared" si="1"/>
        <v>Bình thường</v>
      </c>
      <c r="I115" s="1">
        <v>0.4548611111111111</v>
      </c>
    </row>
    <row r="116" spans="1:9" x14ac:dyDescent="0.3">
      <c r="A116" t="s">
        <v>25</v>
      </c>
      <c r="B116" t="s">
        <v>43</v>
      </c>
      <c r="C116" t="s">
        <v>51</v>
      </c>
      <c r="D116">
        <v>4</v>
      </c>
      <c r="E116">
        <v>25000</v>
      </c>
      <c r="F116">
        <f>Table1[[#This Row],[Qty]]*Table1[[#This Row],[Price]]</f>
        <v>100000</v>
      </c>
      <c r="G116" t="s">
        <v>5</v>
      </c>
      <c r="H116" t="str">
        <f t="shared" si="1"/>
        <v>Cao điểm</v>
      </c>
      <c r="I116" s="1">
        <v>0.8041666666666667</v>
      </c>
    </row>
    <row r="117" spans="1:9" x14ac:dyDescent="0.3">
      <c r="A117" t="s">
        <v>8</v>
      </c>
      <c r="B117" t="s">
        <v>33</v>
      </c>
      <c r="C117" t="s">
        <v>52</v>
      </c>
      <c r="D117">
        <v>2</v>
      </c>
      <c r="E117">
        <v>25000</v>
      </c>
      <c r="F117">
        <f>Table1[[#This Row],[Qty]]*Table1[[#This Row],[Price]]</f>
        <v>50000</v>
      </c>
      <c r="G117" t="s">
        <v>4</v>
      </c>
      <c r="H117" t="str">
        <f t="shared" si="1"/>
        <v>Bình thường</v>
      </c>
      <c r="I117" s="1">
        <v>0.32916666666666666</v>
      </c>
    </row>
    <row r="118" spans="1:9" x14ac:dyDescent="0.3">
      <c r="A118" t="s">
        <v>21</v>
      </c>
      <c r="B118" t="s">
        <v>26</v>
      </c>
      <c r="C118" t="s">
        <v>49</v>
      </c>
      <c r="D118">
        <v>3</v>
      </c>
      <c r="E118">
        <v>45000</v>
      </c>
      <c r="F118">
        <f>Table1[[#This Row],[Qty]]*Table1[[#This Row],[Price]]</f>
        <v>135000</v>
      </c>
      <c r="G118" t="s">
        <v>5</v>
      </c>
      <c r="H118" t="str">
        <f t="shared" si="1"/>
        <v>Cao điểm</v>
      </c>
      <c r="I118" s="1">
        <v>0.77777777777777779</v>
      </c>
    </row>
    <row r="119" spans="1:9" x14ac:dyDescent="0.3">
      <c r="A119" t="s">
        <v>17</v>
      </c>
      <c r="B119" t="s">
        <v>34</v>
      </c>
      <c r="C119" t="s">
        <v>51</v>
      </c>
      <c r="D119">
        <v>2</v>
      </c>
      <c r="E119">
        <v>25000</v>
      </c>
      <c r="F119">
        <f>Table1[[#This Row],[Qty]]*Table1[[#This Row],[Price]]</f>
        <v>50000</v>
      </c>
      <c r="G119" t="s">
        <v>5</v>
      </c>
      <c r="H119" t="str">
        <f t="shared" si="1"/>
        <v>Cao điểm</v>
      </c>
      <c r="I119" s="1">
        <v>0.80625000000000002</v>
      </c>
    </row>
    <row r="120" spans="1:9" x14ac:dyDescent="0.3">
      <c r="A120" t="s">
        <v>19</v>
      </c>
      <c r="B120" t="s">
        <v>37</v>
      </c>
      <c r="C120" t="s">
        <v>51</v>
      </c>
      <c r="D120">
        <v>1</v>
      </c>
      <c r="E120">
        <v>15000</v>
      </c>
      <c r="F120">
        <f>Table1[[#This Row],[Qty]]*Table1[[#This Row],[Price]]</f>
        <v>15000</v>
      </c>
      <c r="G120" t="s">
        <v>4</v>
      </c>
      <c r="H120" t="str">
        <f t="shared" si="1"/>
        <v>Bình thường</v>
      </c>
      <c r="I120" s="1">
        <v>0.34513888888888888</v>
      </c>
    </row>
    <row r="121" spans="1:9" x14ac:dyDescent="0.3">
      <c r="A121" t="s">
        <v>24</v>
      </c>
      <c r="B121" t="s">
        <v>40</v>
      </c>
      <c r="C121" t="s">
        <v>49</v>
      </c>
      <c r="D121">
        <v>1</v>
      </c>
      <c r="E121">
        <v>55000</v>
      </c>
      <c r="F121">
        <f>Table1[[#This Row],[Qty]]*Table1[[#This Row],[Price]]</f>
        <v>55000</v>
      </c>
      <c r="G121" t="s">
        <v>4</v>
      </c>
      <c r="H121" t="str">
        <f t="shared" si="1"/>
        <v>Bình thường</v>
      </c>
      <c r="I121" s="1">
        <v>0.30069444444444443</v>
      </c>
    </row>
    <row r="122" spans="1:9" x14ac:dyDescent="0.3">
      <c r="A122" t="s">
        <v>11</v>
      </c>
      <c r="B122" t="s">
        <v>30</v>
      </c>
      <c r="C122" t="s">
        <v>49</v>
      </c>
      <c r="D122">
        <v>2</v>
      </c>
      <c r="E122">
        <v>55000</v>
      </c>
      <c r="F122">
        <f>Table1[[#This Row],[Qty]]*Table1[[#This Row],[Price]]</f>
        <v>110000</v>
      </c>
      <c r="G122" t="s">
        <v>4</v>
      </c>
      <c r="H122" t="str">
        <f t="shared" si="1"/>
        <v>Bình thường</v>
      </c>
      <c r="I122" s="1">
        <v>0.38124999999999998</v>
      </c>
    </row>
    <row r="123" spans="1:9" x14ac:dyDescent="0.3">
      <c r="A123" t="s">
        <v>24</v>
      </c>
      <c r="B123" t="s">
        <v>38</v>
      </c>
      <c r="C123" t="s">
        <v>52</v>
      </c>
      <c r="D123">
        <v>3</v>
      </c>
      <c r="E123">
        <v>30000</v>
      </c>
      <c r="F123">
        <f>Table1[[#This Row],[Qty]]*Table1[[#This Row],[Price]]</f>
        <v>90000</v>
      </c>
      <c r="G123" t="s">
        <v>5</v>
      </c>
      <c r="H123" t="str">
        <f t="shared" si="1"/>
        <v>Cao điểm</v>
      </c>
      <c r="I123" s="1">
        <v>0.76597222222222228</v>
      </c>
    </row>
    <row r="124" spans="1:9" x14ac:dyDescent="0.3">
      <c r="A124" t="s">
        <v>12</v>
      </c>
      <c r="B124" t="s">
        <v>32</v>
      </c>
      <c r="C124" t="s">
        <v>50</v>
      </c>
      <c r="D124">
        <v>1</v>
      </c>
      <c r="E124">
        <v>15000</v>
      </c>
      <c r="F124">
        <f>Table1[[#This Row],[Qty]]*Table1[[#This Row],[Price]]</f>
        <v>15000</v>
      </c>
      <c r="G124" t="s">
        <v>4</v>
      </c>
      <c r="H124" t="str">
        <f t="shared" si="1"/>
        <v>Bình thường</v>
      </c>
      <c r="I124" s="1">
        <v>0.38263888888888886</v>
      </c>
    </row>
    <row r="125" spans="1:9" x14ac:dyDescent="0.3">
      <c r="A125" t="s">
        <v>10</v>
      </c>
      <c r="B125" t="s">
        <v>30</v>
      </c>
      <c r="C125" t="s">
        <v>49</v>
      </c>
      <c r="D125">
        <v>3</v>
      </c>
      <c r="E125">
        <v>55000</v>
      </c>
      <c r="F125">
        <f>Table1[[#This Row],[Qty]]*Table1[[#This Row],[Price]]</f>
        <v>165000</v>
      </c>
      <c r="G125" t="s">
        <v>4</v>
      </c>
      <c r="H125" t="str">
        <f t="shared" si="1"/>
        <v>Bình thường</v>
      </c>
      <c r="I125" s="1">
        <v>0.39861111111111114</v>
      </c>
    </row>
    <row r="126" spans="1:9" x14ac:dyDescent="0.3">
      <c r="A126" t="s">
        <v>10</v>
      </c>
      <c r="B126" t="s">
        <v>46</v>
      </c>
      <c r="C126" t="s">
        <v>49</v>
      </c>
      <c r="D126">
        <v>4</v>
      </c>
      <c r="E126">
        <v>35000</v>
      </c>
      <c r="F126">
        <f>Table1[[#This Row],[Qty]]*Table1[[#This Row],[Price]]</f>
        <v>140000</v>
      </c>
      <c r="G126" t="s">
        <v>5</v>
      </c>
      <c r="H126" t="str">
        <f t="shared" si="1"/>
        <v>Cao điểm</v>
      </c>
      <c r="I126" s="1">
        <v>0.81874999999999998</v>
      </c>
    </row>
    <row r="127" spans="1:9" x14ac:dyDescent="0.3">
      <c r="A127" t="s">
        <v>10</v>
      </c>
      <c r="B127" t="s">
        <v>38</v>
      </c>
      <c r="C127" t="s">
        <v>52</v>
      </c>
      <c r="D127">
        <v>4</v>
      </c>
      <c r="E127">
        <v>30000</v>
      </c>
      <c r="F127">
        <f>Table1[[#This Row],[Qty]]*Table1[[#This Row],[Price]]</f>
        <v>120000</v>
      </c>
      <c r="G127" t="s">
        <v>5</v>
      </c>
      <c r="H127" t="str">
        <f t="shared" si="1"/>
        <v>Cao điểm</v>
      </c>
      <c r="I127" s="1">
        <v>0.8208333333333333</v>
      </c>
    </row>
    <row r="128" spans="1:9" x14ac:dyDescent="0.3">
      <c r="A128" t="s">
        <v>23</v>
      </c>
      <c r="B128" t="s">
        <v>42</v>
      </c>
      <c r="C128" t="s">
        <v>49</v>
      </c>
      <c r="D128">
        <v>1</v>
      </c>
      <c r="E128">
        <v>60000</v>
      </c>
      <c r="F128">
        <f>Table1[[#This Row],[Qty]]*Table1[[#This Row],[Price]]</f>
        <v>60000</v>
      </c>
      <c r="G128" t="s">
        <v>4</v>
      </c>
      <c r="H128" t="str">
        <f t="shared" si="1"/>
        <v>Bình thường</v>
      </c>
      <c r="I128" s="1">
        <v>0.38124999999999998</v>
      </c>
    </row>
    <row r="129" spans="1:9" x14ac:dyDescent="0.3">
      <c r="A129" t="s">
        <v>19</v>
      </c>
      <c r="B129" t="s">
        <v>29</v>
      </c>
      <c r="C129" t="s">
        <v>49</v>
      </c>
      <c r="D129">
        <v>5</v>
      </c>
      <c r="E129">
        <v>65000</v>
      </c>
      <c r="F129">
        <f>Table1[[#This Row],[Qty]]*Table1[[#This Row],[Price]]</f>
        <v>325000</v>
      </c>
      <c r="G129" t="s">
        <v>5</v>
      </c>
      <c r="H129" t="str">
        <f t="shared" si="1"/>
        <v>Cao điểm</v>
      </c>
      <c r="I129" s="1">
        <v>0.78680555555555554</v>
      </c>
    </row>
    <row r="130" spans="1:9" x14ac:dyDescent="0.3">
      <c r="A130" t="s">
        <v>13</v>
      </c>
      <c r="B130" t="s">
        <v>29</v>
      </c>
      <c r="C130" t="s">
        <v>49</v>
      </c>
      <c r="D130">
        <v>3</v>
      </c>
      <c r="E130">
        <v>65000</v>
      </c>
      <c r="F130">
        <f>Table1[[#This Row],[Qty]]*Table1[[#This Row],[Price]]</f>
        <v>195000</v>
      </c>
      <c r="G130" t="s">
        <v>5</v>
      </c>
      <c r="H130" t="str">
        <f t="shared" ref="H130:H193" si="2">IF(OR(AND(HOUR(I130)&gt;=11, HOUR(I130)&lt;13), AND(HOUR(I130)&gt;=18, HOUR(I130)&lt;20)), "Cao điểm", "Bình thường")</f>
        <v>Cao điểm</v>
      </c>
      <c r="I130" s="1">
        <v>0.75555555555555554</v>
      </c>
    </row>
    <row r="131" spans="1:9" x14ac:dyDescent="0.3">
      <c r="A131" t="s">
        <v>15</v>
      </c>
      <c r="B131" t="s">
        <v>35</v>
      </c>
      <c r="C131" t="s">
        <v>50</v>
      </c>
      <c r="D131">
        <v>1</v>
      </c>
      <c r="E131">
        <v>20000</v>
      </c>
      <c r="F131">
        <f>Table1[[#This Row],[Qty]]*Table1[[#This Row],[Price]]</f>
        <v>20000</v>
      </c>
      <c r="G131" t="s">
        <v>4</v>
      </c>
      <c r="H131" t="str">
        <f t="shared" si="2"/>
        <v>Bình thường</v>
      </c>
      <c r="I131" s="1">
        <v>0.41388888888888886</v>
      </c>
    </row>
    <row r="132" spans="1:9" x14ac:dyDescent="0.3">
      <c r="A132" t="s">
        <v>22</v>
      </c>
      <c r="B132" t="s">
        <v>42</v>
      </c>
      <c r="C132" t="s">
        <v>49</v>
      </c>
      <c r="D132">
        <v>1</v>
      </c>
      <c r="E132">
        <v>60000</v>
      </c>
      <c r="F132">
        <f>Table1[[#This Row],[Qty]]*Table1[[#This Row],[Price]]</f>
        <v>60000</v>
      </c>
      <c r="G132" t="s">
        <v>5</v>
      </c>
      <c r="H132" t="str">
        <f t="shared" si="2"/>
        <v>Cao điểm</v>
      </c>
      <c r="I132" s="1">
        <v>0.76388888888888884</v>
      </c>
    </row>
    <row r="133" spans="1:9" x14ac:dyDescent="0.3">
      <c r="A133" t="s">
        <v>7</v>
      </c>
      <c r="B133" t="s">
        <v>32</v>
      </c>
      <c r="C133" t="s">
        <v>50</v>
      </c>
      <c r="D133">
        <v>3</v>
      </c>
      <c r="E133">
        <v>15000</v>
      </c>
      <c r="F133">
        <f>Table1[[#This Row],[Qty]]*Table1[[#This Row],[Price]]</f>
        <v>45000</v>
      </c>
      <c r="G133" t="s">
        <v>4</v>
      </c>
      <c r="H133" t="str">
        <f t="shared" si="2"/>
        <v>Bình thường</v>
      </c>
      <c r="I133" s="1">
        <v>0.42569444444444443</v>
      </c>
    </row>
    <row r="134" spans="1:9" x14ac:dyDescent="0.3">
      <c r="A134" t="s">
        <v>17</v>
      </c>
      <c r="B134" t="s">
        <v>33</v>
      </c>
      <c r="C134" t="s">
        <v>52</v>
      </c>
      <c r="D134">
        <v>5</v>
      </c>
      <c r="E134">
        <v>25000</v>
      </c>
      <c r="F134">
        <f>Table1[[#This Row],[Qty]]*Table1[[#This Row],[Price]]</f>
        <v>125000</v>
      </c>
      <c r="G134" t="s">
        <v>4</v>
      </c>
      <c r="H134" t="str">
        <f t="shared" si="2"/>
        <v>Cao điểm</v>
      </c>
      <c r="I134" s="1">
        <v>0.49305555555555558</v>
      </c>
    </row>
    <row r="135" spans="1:9" x14ac:dyDescent="0.3">
      <c r="A135" t="s">
        <v>14</v>
      </c>
      <c r="B135" t="s">
        <v>41</v>
      </c>
      <c r="C135" t="s">
        <v>51</v>
      </c>
      <c r="D135">
        <v>3</v>
      </c>
      <c r="E135">
        <v>20000</v>
      </c>
      <c r="F135">
        <f>Table1[[#This Row],[Qty]]*Table1[[#This Row],[Price]]</f>
        <v>60000</v>
      </c>
      <c r="G135" t="s">
        <v>5</v>
      </c>
      <c r="H135" t="str">
        <f t="shared" si="2"/>
        <v>Cao điểm</v>
      </c>
      <c r="I135" s="1">
        <v>0.82777777777777772</v>
      </c>
    </row>
    <row r="136" spans="1:9" x14ac:dyDescent="0.3">
      <c r="A136" t="s">
        <v>9</v>
      </c>
      <c r="B136" t="s">
        <v>33</v>
      </c>
      <c r="C136" t="s">
        <v>52</v>
      </c>
      <c r="D136">
        <v>5</v>
      </c>
      <c r="E136">
        <v>25000</v>
      </c>
      <c r="F136">
        <f>Table1[[#This Row],[Qty]]*Table1[[#This Row],[Price]]</f>
        <v>125000</v>
      </c>
      <c r="G136" t="s">
        <v>4</v>
      </c>
      <c r="H136" t="str">
        <f t="shared" si="2"/>
        <v>Bình thường</v>
      </c>
      <c r="I136" s="1">
        <v>0.2986111111111111</v>
      </c>
    </row>
    <row r="137" spans="1:9" x14ac:dyDescent="0.3">
      <c r="A137" t="s">
        <v>15</v>
      </c>
      <c r="B137" t="s">
        <v>27</v>
      </c>
      <c r="C137" t="s">
        <v>50</v>
      </c>
      <c r="D137">
        <v>1</v>
      </c>
      <c r="E137">
        <v>18000</v>
      </c>
      <c r="F137">
        <f>Table1[[#This Row],[Qty]]*Table1[[#This Row],[Price]]</f>
        <v>18000</v>
      </c>
      <c r="G137" t="s">
        <v>4</v>
      </c>
      <c r="H137" t="str">
        <f t="shared" si="2"/>
        <v>Cao điểm</v>
      </c>
      <c r="I137" s="1">
        <v>0.49166666666666664</v>
      </c>
    </row>
    <row r="138" spans="1:9" x14ac:dyDescent="0.3">
      <c r="A138" t="s">
        <v>13</v>
      </c>
      <c r="B138" t="s">
        <v>26</v>
      </c>
      <c r="C138" t="s">
        <v>49</v>
      </c>
      <c r="D138">
        <v>4</v>
      </c>
      <c r="E138">
        <v>45000</v>
      </c>
      <c r="F138">
        <f>Table1[[#This Row],[Qty]]*Table1[[#This Row],[Price]]</f>
        <v>180000</v>
      </c>
      <c r="G138" t="s">
        <v>4</v>
      </c>
      <c r="H138" t="str">
        <f t="shared" si="2"/>
        <v>Cao điểm</v>
      </c>
      <c r="I138" s="1">
        <v>0.49444444444444446</v>
      </c>
    </row>
    <row r="139" spans="1:9" x14ac:dyDescent="0.3">
      <c r="A139" t="s">
        <v>6</v>
      </c>
      <c r="B139" t="s">
        <v>44</v>
      </c>
      <c r="C139" t="s">
        <v>51</v>
      </c>
      <c r="D139">
        <v>2</v>
      </c>
      <c r="E139">
        <v>30000</v>
      </c>
      <c r="F139">
        <f>Table1[[#This Row],[Qty]]*Table1[[#This Row],[Price]]</f>
        <v>60000</v>
      </c>
      <c r="G139" t="s">
        <v>5</v>
      </c>
      <c r="H139" t="str">
        <f t="shared" si="2"/>
        <v>Cao điểm</v>
      </c>
      <c r="I139" s="1">
        <v>0.7583333333333333</v>
      </c>
    </row>
    <row r="140" spans="1:9" x14ac:dyDescent="0.3">
      <c r="A140" t="s">
        <v>24</v>
      </c>
      <c r="B140" t="s">
        <v>27</v>
      </c>
      <c r="C140" t="s">
        <v>50</v>
      </c>
      <c r="D140">
        <v>4</v>
      </c>
      <c r="E140">
        <v>18000</v>
      </c>
      <c r="F140">
        <f>Table1[[#This Row],[Qty]]*Table1[[#This Row],[Price]]</f>
        <v>72000</v>
      </c>
      <c r="G140" t="s">
        <v>4</v>
      </c>
      <c r="H140" t="str">
        <f t="shared" si="2"/>
        <v>Cao điểm</v>
      </c>
      <c r="I140" s="1">
        <v>0.48819444444444443</v>
      </c>
    </row>
    <row r="141" spans="1:9" x14ac:dyDescent="0.3">
      <c r="A141" t="s">
        <v>13</v>
      </c>
      <c r="B141" t="s">
        <v>35</v>
      </c>
      <c r="C141" t="s">
        <v>50</v>
      </c>
      <c r="D141">
        <v>4</v>
      </c>
      <c r="E141">
        <v>20000</v>
      </c>
      <c r="F141">
        <f>Table1[[#This Row],[Qty]]*Table1[[#This Row],[Price]]</f>
        <v>80000</v>
      </c>
      <c r="G141" t="s">
        <v>4</v>
      </c>
      <c r="H141" t="str">
        <f t="shared" si="2"/>
        <v>Bình thường</v>
      </c>
      <c r="I141" s="1">
        <v>0.36875000000000002</v>
      </c>
    </row>
    <row r="142" spans="1:9" x14ac:dyDescent="0.3">
      <c r="A142" t="s">
        <v>12</v>
      </c>
      <c r="B142" t="s">
        <v>27</v>
      </c>
      <c r="C142" t="s">
        <v>50</v>
      </c>
      <c r="D142">
        <v>3</v>
      </c>
      <c r="E142">
        <v>18000</v>
      </c>
      <c r="F142">
        <f>Table1[[#This Row],[Qty]]*Table1[[#This Row],[Price]]</f>
        <v>54000</v>
      </c>
      <c r="G142" t="s">
        <v>5</v>
      </c>
      <c r="H142" t="str">
        <f t="shared" si="2"/>
        <v>Cao điểm</v>
      </c>
      <c r="I142" s="1">
        <v>0.76597222222222228</v>
      </c>
    </row>
    <row r="143" spans="1:9" x14ac:dyDescent="0.3">
      <c r="A143" t="s">
        <v>7</v>
      </c>
      <c r="B143" t="s">
        <v>44</v>
      </c>
      <c r="C143" t="s">
        <v>51</v>
      </c>
      <c r="D143">
        <v>5</v>
      </c>
      <c r="E143">
        <v>30000</v>
      </c>
      <c r="F143">
        <f>Table1[[#This Row],[Qty]]*Table1[[#This Row],[Price]]</f>
        <v>150000</v>
      </c>
      <c r="G143" t="s">
        <v>5</v>
      </c>
      <c r="H143" t="str">
        <f t="shared" si="2"/>
        <v>Cao điểm</v>
      </c>
      <c r="I143" s="1">
        <v>0.76458333333333328</v>
      </c>
    </row>
    <row r="144" spans="1:9" x14ac:dyDescent="0.3">
      <c r="A144" t="s">
        <v>18</v>
      </c>
      <c r="B144" t="s">
        <v>27</v>
      </c>
      <c r="C144" t="s">
        <v>50</v>
      </c>
      <c r="D144">
        <v>3</v>
      </c>
      <c r="E144">
        <v>18000</v>
      </c>
      <c r="F144">
        <f>Table1[[#This Row],[Qty]]*Table1[[#This Row],[Price]]</f>
        <v>54000</v>
      </c>
      <c r="G144" t="s">
        <v>4</v>
      </c>
      <c r="H144" t="str">
        <f t="shared" si="2"/>
        <v>Cao điểm</v>
      </c>
      <c r="I144" s="1">
        <v>0.46666666666666667</v>
      </c>
    </row>
    <row r="145" spans="1:9" x14ac:dyDescent="0.3">
      <c r="A145" t="s">
        <v>8</v>
      </c>
      <c r="B145" t="s">
        <v>45</v>
      </c>
      <c r="C145" t="s">
        <v>49</v>
      </c>
      <c r="D145">
        <v>1</v>
      </c>
      <c r="E145">
        <v>50000</v>
      </c>
      <c r="F145">
        <f>Table1[[#This Row],[Qty]]*Table1[[#This Row],[Price]]</f>
        <v>50000</v>
      </c>
      <c r="G145" t="s">
        <v>4</v>
      </c>
      <c r="H145" t="str">
        <f t="shared" si="2"/>
        <v>Bình thường</v>
      </c>
      <c r="I145" s="1">
        <v>0.3840277777777778</v>
      </c>
    </row>
    <row r="146" spans="1:9" x14ac:dyDescent="0.3">
      <c r="A146" t="s">
        <v>23</v>
      </c>
      <c r="B146" t="s">
        <v>41</v>
      </c>
      <c r="C146" t="s">
        <v>51</v>
      </c>
      <c r="D146">
        <v>3</v>
      </c>
      <c r="E146">
        <v>20000</v>
      </c>
      <c r="F146">
        <f>Table1[[#This Row],[Qty]]*Table1[[#This Row],[Price]]</f>
        <v>60000</v>
      </c>
      <c r="G146" t="s">
        <v>5</v>
      </c>
      <c r="H146" t="str">
        <f t="shared" si="2"/>
        <v>Bình thường</v>
      </c>
      <c r="I146" s="1">
        <v>0.7319444444444444</v>
      </c>
    </row>
    <row r="147" spans="1:9" x14ac:dyDescent="0.3">
      <c r="A147" t="s">
        <v>6</v>
      </c>
      <c r="B147" t="s">
        <v>30</v>
      </c>
      <c r="C147" t="s">
        <v>49</v>
      </c>
      <c r="D147">
        <v>2</v>
      </c>
      <c r="E147">
        <v>55000</v>
      </c>
      <c r="F147">
        <f>Table1[[#This Row],[Qty]]*Table1[[#This Row],[Price]]</f>
        <v>110000</v>
      </c>
      <c r="G147" t="s">
        <v>4</v>
      </c>
      <c r="H147" t="str">
        <f t="shared" si="2"/>
        <v>Cao điểm</v>
      </c>
      <c r="I147" s="1">
        <v>0.53541666666666665</v>
      </c>
    </row>
    <row r="148" spans="1:9" x14ac:dyDescent="0.3">
      <c r="A148" t="s">
        <v>8</v>
      </c>
      <c r="B148" t="s">
        <v>32</v>
      </c>
      <c r="C148" t="s">
        <v>50</v>
      </c>
      <c r="D148">
        <v>3</v>
      </c>
      <c r="E148">
        <v>15000</v>
      </c>
      <c r="F148">
        <f>Table1[[#This Row],[Qty]]*Table1[[#This Row],[Price]]</f>
        <v>45000</v>
      </c>
      <c r="G148" t="s">
        <v>4</v>
      </c>
      <c r="H148" t="str">
        <f t="shared" si="2"/>
        <v>Cao điểm</v>
      </c>
      <c r="I148" s="1">
        <v>0.47291666666666665</v>
      </c>
    </row>
    <row r="149" spans="1:9" x14ac:dyDescent="0.3">
      <c r="A149" t="s">
        <v>24</v>
      </c>
      <c r="B149" t="s">
        <v>48</v>
      </c>
      <c r="C149" t="s">
        <v>49</v>
      </c>
      <c r="D149">
        <v>1</v>
      </c>
      <c r="E149">
        <v>50000</v>
      </c>
      <c r="F149">
        <f>Table1[[#This Row],[Qty]]*Table1[[#This Row],[Price]]</f>
        <v>50000</v>
      </c>
      <c r="G149" t="s">
        <v>5</v>
      </c>
      <c r="H149" t="str">
        <f t="shared" si="2"/>
        <v>Bình thường</v>
      </c>
      <c r="I149" s="1">
        <v>0.72361111111111109</v>
      </c>
    </row>
    <row r="150" spans="1:9" x14ac:dyDescent="0.3">
      <c r="A150" t="s">
        <v>11</v>
      </c>
      <c r="B150" t="s">
        <v>48</v>
      </c>
      <c r="C150" t="s">
        <v>49</v>
      </c>
      <c r="D150">
        <v>4</v>
      </c>
      <c r="E150">
        <v>50000</v>
      </c>
      <c r="F150">
        <f>Table1[[#This Row],[Qty]]*Table1[[#This Row],[Price]]</f>
        <v>200000</v>
      </c>
      <c r="G150" t="s">
        <v>4</v>
      </c>
      <c r="H150" t="str">
        <f t="shared" si="2"/>
        <v>Cao điểm</v>
      </c>
      <c r="I150" s="1">
        <v>0.46944444444444444</v>
      </c>
    </row>
    <row r="151" spans="1:9" x14ac:dyDescent="0.3">
      <c r="A151" t="s">
        <v>21</v>
      </c>
      <c r="B151" t="s">
        <v>41</v>
      </c>
      <c r="C151" t="s">
        <v>51</v>
      </c>
      <c r="D151">
        <v>5</v>
      </c>
      <c r="E151">
        <v>20000</v>
      </c>
      <c r="F151">
        <f>Table1[[#This Row],[Qty]]*Table1[[#This Row],[Price]]</f>
        <v>100000</v>
      </c>
      <c r="G151" t="s">
        <v>4</v>
      </c>
      <c r="H151" t="str">
        <f t="shared" si="2"/>
        <v>Cao điểm</v>
      </c>
      <c r="I151" s="1">
        <v>0.50347222222222221</v>
      </c>
    </row>
    <row r="152" spans="1:9" x14ac:dyDescent="0.3">
      <c r="A152" t="s">
        <v>9</v>
      </c>
      <c r="B152" t="s">
        <v>31</v>
      </c>
      <c r="C152" t="s">
        <v>52</v>
      </c>
      <c r="D152">
        <v>2</v>
      </c>
      <c r="E152">
        <v>45000</v>
      </c>
      <c r="F152">
        <f>Table1[[#This Row],[Qty]]*Table1[[#This Row],[Price]]</f>
        <v>90000</v>
      </c>
      <c r="G152" t="s">
        <v>4</v>
      </c>
      <c r="H152" t="str">
        <f t="shared" si="2"/>
        <v>Cao điểm</v>
      </c>
      <c r="I152" s="1">
        <v>0.48055555555555557</v>
      </c>
    </row>
    <row r="153" spans="1:9" x14ac:dyDescent="0.3">
      <c r="A153" t="s">
        <v>22</v>
      </c>
      <c r="B153" t="s">
        <v>38</v>
      </c>
      <c r="C153" t="s">
        <v>52</v>
      </c>
      <c r="D153">
        <v>4</v>
      </c>
      <c r="E153">
        <v>30000</v>
      </c>
      <c r="F153">
        <f>Table1[[#This Row],[Qty]]*Table1[[#This Row],[Price]]</f>
        <v>120000</v>
      </c>
      <c r="G153" t="s">
        <v>4</v>
      </c>
      <c r="H153" t="str">
        <f t="shared" si="2"/>
        <v>Cao điểm</v>
      </c>
      <c r="I153" s="1">
        <v>0.49305555555555558</v>
      </c>
    </row>
    <row r="154" spans="1:9" x14ac:dyDescent="0.3">
      <c r="A154" t="s">
        <v>22</v>
      </c>
      <c r="B154" t="s">
        <v>27</v>
      </c>
      <c r="C154" t="s">
        <v>50</v>
      </c>
      <c r="D154">
        <v>5</v>
      </c>
      <c r="E154">
        <v>18000</v>
      </c>
      <c r="F154">
        <f>Table1[[#This Row],[Qty]]*Table1[[#This Row],[Price]]</f>
        <v>90000</v>
      </c>
      <c r="G154" t="s">
        <v>5</v>
      </c>
      <c r="H154" t="str">
        <f t="shared" si="2"/>
        <v>Cao điểm</v>
      </c>
      <c r="I154" s="1">
        <v>0.7583333333333333</v>
      </c>
    </row>
    <row r="155" spans="1:9" x14ac:dyDescent="0.3">
      <c r="A155" t="s">
        <v>18</v>
      </c>
      <c r="B155" t="s">
        <v>45</v>
      </c>
      <c r="C155" t="s">
        <v>49</v>
      </c>
      <c r="D155">
        <v>5</v>
      </c>
      <c r="E155">
        <v>50000</v>
      </c>
      <c r="F155">
        <f>Table1[[#This Row],[Qty]]*Table1[[#This Row],[Price]]</f>
        <v>250000</v>
      </c>
      <c r="G155" t="s">
        <v>5</v>
      </c>
      <c r="H155" t="str">
        <f t="shared" si="2"/>
        <v>Bình thường</v>
      </c>
      <c r="I155" s="1">
        <v>0.71944444444444444</v>
      </c>
    </row>
    <row r="156" spans="1:9" x14ac:dyDescent="0.3">
      <c r="A156" t="s">
        <v>7</v>
      </c>
      <c r="B156" t="s">
        <v>45</v>
      </c>
      <c r="C156" t="s">
        <v>49</v>
      </c>
      <c r="D156">
        <v>5</v>
      </c>
      <c r="E156">
        <v>50000</v>
      </c>
      <c r="F156">
        <f>Table1[[#This Row],[Qty]]*Table1[[#This Row],[Price]]</f>
        <v>250000</v>
      </c>
      <c r="G156" t="s">
        <v>5</v>
      </c>
      <c r="H156" t="str">
        <f t="shared" si="2"/>
        <v>Bình thường</v>
      </c>
      <c r="I156" s="1">
        <v>0.71666666666666667</v>
      </c>
    </row>
    <row r="157" spans="1:9" x14ac:dyDescent="0.3">
      <c r="A157" t="s">
        <v>24</v>
      </c>
      <c r="B157" t="s">
        <v>31</v>
      </c>
      <c r="C157" t="s">
        <v>52</v>
      </c>
      <c r="D157">
        <v>4</v>
      </c>
      <c r="E157">
        <v>45000</v>
      </c>
      <c r="F157">
        <f>Table1[[#This Row],[Qty]]*Table1[[#This Row],[Price]]</f>
        <v>180000</v>
      </c>
      <c r="G157" t="s">
        <v>5</v>
      </c>
      <c r="H157" t="str">
        <f t="shared" si="2"/>
        <v>Bình thường</v>
      </c>
      <c r="I157" s="1">
        <v>0.91597222222222219</v>
      </c>
    </row>
    <row r="158" spans="1:9" x14ac:dyDescent="0.3">
      <c r="A158" t="s">
        <v>14</v>
      </c>
      <c r="B158" t="s">
        <v>41</v>
      </c>
      <c r="C158" t="s">
        <v>51</v>
      </c>
      <c r="D158">
        <v>2</v>
      </c>
      <c r="E158">
        <v>20000</v>
      </c>
      <c r="F158">
        <f>Table1[[#This Row],[Qty]]*Table1[[#This Row],[Price]]</f>
        <v>40000</v>
      </c>
      <c r="G158" t="s">
        <v>5</v>
      </c>
      <c r="H158" t="str">
        <f t="shared" si="2"/>
        <v>Cao điểm</v>
      </c>
      <c r="I158" s="1">
        <v>0.82013888888888886</v>
      </c>
    </row>
    <row r="159" spans="1:9" x14ac:dyDescent="0.3">
      <c r="A159" t="s">
        <v>22</v>
      </c>
      <c r="B159" t="s">
        <v>31</v>
      </c>
      <c r="C159" t="s">
        <v>52</v>
      </c>
      <c r="D159">
        <v>1</v>
      </c>
      <c r="E159">
        <v>45000</v>
      </c>
      <c r="F159">
        <f>Table1[[#This Row],[Qty]]*Table1[[#This Row],[Price]]</f>
        <v>45000</v>
      </c>
      <c r="G159" t="s">
        <v>4</v>
      </c>
      <c r="H159" t="str">
        <f t="shared" si="2"/>
        <v>Cao điểm</v>
      </c>
      <c r="I159" s="1">
        <v>0.50416666666666665</v>
      </c>
    </row>
    <row r="160" spans="1:9" x14ac:dyDescent="0.3">
      <c r="A160" t="s">
        <v>14</v>
      </c>
      <c r="B160" t="s">
        <v>28</v>
      </c>
      <c r="C160" t="s">
        <v>51</v>
      </c>
      <c r="D160">
        <v>3</v>
      </c>
      <c r="E160">
        <v>5000</v>
      </c>
      <c r="F160">
        <f>Table1[[#This Row],[Qty]]*Table1[[#This Row],[Price]]</f>
        <v>15000</v>
      </c>
      <c r="G160" t="s">
        <v>5</v>
      </c>
      <c r="H160" t="str">
        <f t="shared" si="2"/>
        <v>Bình thường</v>
      </c>
      <c r="I160" s="1">
        <v>0.71597222222222223</v>
      </c>
    </row>
    <row r="161" spans="1:9" x14ac:dyDescent="0.3">
      <c r="A161" t="s">
        <v>25</v>
      </c>
      <c r="B161" t="s">
        <v>33</v>
      </c>
      <c r="C161" t="s">
        <v>52</v>
      </c>
      <c r="D161">
        <v>3</v>
      </c>
      <c r="E161">
        <v>25000</v>
      </c>
      <c r="F161">
        <f>Table1[[#This Row],[Qty]]*Table1[[#This Row],[Price]]</f>
        <v>75000</v>
      </c>
      <c r="G161" t="s">
        <v>5</v>
      </c>
      <c r="H161" t="str">
        <f t="shared" si="2"/>
        <v>Bình thường</v>
      </c>
      <c r="I161" s="1">
        <v>0.89861111111111114</v>
      </c>
    </row>
    <row r="162" spans="1:9" x14ac:dyDescent="0.3">
      <c r="A162" t="s">
        <v>8</v>
      </c>
      <c r="B162" t="s">
        <v>35</v>
      </c>
      <c r="C162" t="s">
        <v>50</v>
      </c>
      <c r="D162">
        <v>1</v>
      </c>
      <c r="E162">
        <v>20000</v>
      </c>
      <c r="F162">
        <f>Table1[[#This Row],[Qty]]*Table1[[#This Row],[Price]]</f>
        <v>20000</v>
      </c>
      <c r="G162" t="s">
        <v>4</v>
      </c>
      <c r="H162" t="str">
        <f t="shared" si="2"/>
        <v>Bình thường</v>
      </c>
      <c r="I162" s="1">
        <v>0.42638888888888887</v>
      </c>
    </row>
    <row r="163" spans="1:9" x14ac:dyDescent="0.3">
      <c r="A163" t="s">
        <v>9</v>
      </c>
      <c r="B163" t="s">
        <v>28</v>
      </c>
      <c r="C163" t="s">
        <v>51</v>
      </c>
      <c r="D163">
        <v>4</v>
      </c>
      <c r="E163">
        <v>5000</v>
      </c>
      <c r="F163">
        <f>Table1[[#This Row],[Qty]]*Table1[[#This Row],[Price]]</f>
        <v>20000</v>
      </c>
      <c r="G163" t="s">
        <v>5</v>
      </c>
      <c r="H163" t="str">
        <f t="shared" si="2"/>
        <v>Bình thường</v>
      </c>
      <c r="I163" s="1">
        <v>0.85555555555555551</v>
      </c>
    </row>
    <row r="164" spans="1:9" x14ac:dyDescent="0.3">
      <c r="A164" t="s">
        <v>24</v>
      </c>
      <c r="B164" t="s">
        <v>37</v>
      </c>
      <c r="C164" t="s">
        <v>51</v>
      </c>
      <c r="D164">
        <v>1</v>
      </c>
      <c r="E164">
        <v>15000</v>
      </c>
      <c r="F164">
        <f>Table1[[#This Row],[Qty]]*Table1[[#This Row],[Price]]</f>
        <v>15000</v>
      </c>
      <c r="G164" t="s">
        <v>5</v>
      </c>
      <c r="H164" t="str">
        <f t="shared" si="2"/>
        <v>Cao điểm</v>
      </c>
      <c r="I164" s="1">
        <v>0.80902777777777779</v>
      </c>
    </row>
    <row r="165" spans="1:9" x14ac:dyDescent="0.3">
      <c r="A165" t="s">
        <v>17</v>
      </c>
      <c r="B165" t="s">
        <v>43</v>
      </c>
      <c r="C165" t="s">
        <v>51</v>
      </c>
      <c r="D165">
        <v>5</v>
      </c>
      <c r="E165">
        <v>25000</v>
      </c>
      <c r="F165">
        <f>Table1[[#This Row],[Qty]]*Table1[[#This Row],[Price]]</f>
        <v>125000</v>
      </c>
      <c r="G165" t="s">
        <v>5</v>
      </c>
      <c r="H165" t="str">
        <f t="shared" si="2"/>
        <v>Cao điểm</v>
      </c>
      <c r="I165" s="1">
        <v>0.78819444444444442</v>
      </c>
    </row>
    <row r="166" spans="1:9" x14ac:dyDescent="0.3">
      <c r="A166" t="s">
        <v>7</v>
      </c>
      <c r="B166" t="s">
        <v>45</v>
      </c>
      <c r="C166" t="s">
        <v>49</v>
      </c>
      <c r="D166">
        <v>1</v>
      </c>
      <c r="E166">
        <v>50000</v>
      </c>
      <c r="F166">
        <f>Table1[[#This Row],[Qty]]*Table1[[#This Row],[Price]]</f>
        <v>50000</v>
      </c>
      <c r="G166" t="s">
        <v>5</v>
      </c>
      <c r="H166" t="str">
        <f t="shared" si="2"/>
        <v>Bình thường</v>
      </c>
      <c r="I166" s="1">
        <v>0.73472222222222228</v>
      </c>
    </row>
    <row r="167" spans="1:9" x14ac:dyDescent="0.3">
      <c r="A167" t="s">
        <v>12</v>
      </c>
      <c r="B167" t="s">
        <v>48</v>
      </c>
      <c r="C167" t="s">
        <v>49</v>
      </c>
      <c r="D167">
        <v>3</v>
      </c>
      <c r="E167">
        <v>50000</v>
      </c>
      <c r="F167">
        <f>Table1[[#This Row],[Qty]]*Table1[[#This Row],[Price]]</f>
        <v>150000</v>
      </c>
      <c r="G167" t="s">
        <v>5</v>
      </c>
      <c r="H167" t="str">
        <f t="shared" si="2"/>
        <v>Cao điểm</v>
      </c>
      <c r="I167" s="1">
        <v>0.79722222222222228</v>
      </c>
    </row>
    <row r="168" spans="1:9" x14ac:dyDescent="0.3">
      <c r="A168" t="s">
        <v>19</v>
      </c>
      <c r="B168" t="s">
        <v>31</v>
      </c>
      <c r="C168" t="s">
        <v>52</v>
      </c>
      <c r="D168">
        <v>1</v>
      </c>
      <c r="E168">
        <v>45000</v>
      </c>
      <c r="F168">
        <f>Table1[[#This Row],[Qty]]*Table1[[#This Row],[Price]]</f>
        <v>45000</v>
      </c>
      <c r="G168" t="s">
        <v>5</v>
      </c>
      <c r="H168" t="str">
        <f t="shared" si="2"/>
        <v>Cao điểm</v>
      </c>
      <c r="I168" s="1">
        <v>0.75486111111111109</v>
      </c>
    </row>
    <row r="169" spans="1:9" x14ac:dyDescent="0.3">
      <c r="A169" t="s">
        <v>21</v>
      </c>
      <c r="B169" t="s">
        <v>33</v>
      </c>
      <c r="C169" t="s">
        <v>52</v>
      </c>
      <c r="D169">
        <v>1</v>
      </c>
      <c r="E169">
        <v>25000</v>
      </c>
      <c r="F169">
        <f>Table1[[#This Row],[Qty]]*Table1[[#This Row],[Price]]</f>
        <v>25000</v>
      </c>
      <c r="G169" t="s">
        <v>4</v>
      </c>
      <c r="H169" t="str">
        <f t="shared" si="2"/>
        <v>Cao điểm</v>
      </c>
      <c r="I169" s="1">
        <v>0.49722222222222223</v>
      </c>
    </row>
    <row r="170" spans="1:9" x14ac:dyDescent="0.3">
      <c r="A170" t="s">
        <v>16</v>
      </c>
      <c r="B170" t="s">
        <v>44</v>
      </c>
      <c r="C170" t="s">
        <v>51</v>
      </c>
      <c r="D170">
        <v>1</v>
      </c>
      <c r="E170">
        <v>30000</v>
      </c>
      <c r="F170">
        <f>Table1[[#This Row],[Qty]]*Table1[[#This Row],[Price]]</f>
        <v>30000</v>
      </c>
      <c r="G170" t="s">
        <v>5</v>
      </c>
      <c r="H170" t="str">
        <f t="shared" si="2"/>
        <v>Cao điểm</v>
      </c>
      <c r="I170" s="1">
        <v>0.80833333333333335</v>
      </c>
    </row>
    <row r="171" spans="1:9" x14ac:dyDescent="0.3">
      <c r="A171" t="s">
        <v>16</v>
      </c>
      <c r="B171" t="s">
        <v>30</v>
      </c>
      <c r="C171" t="s">
        <v>49</v>
      </c>
      <c r="D171">
        <v>4</v>
      </c>
      <c r="E171">
        <v>55000</v>
      </c>
      <c r="F171">
        <f>Table1[[#This Row],[Qty]]*Table1[[#This Row],[Price]]</f>
        <v>220000</v>
      </c>
      <c r="G171" t="s">
        <v>4</v>
      </c>
      <c r="H171" t="str">
        <f t="shared" si="2"/>
        <v>Cao điểm</v>
      </c>
      <c r="I171" s="1">
        <v>0.47430555555555554</v>
      </c>
    </row>
    <row r="172" spans="1:9" x14ac:dyDescent="0.3">
      <c r="A172" t="s">
        <v>10</v>
      </c>
      <c r="B172" t="s">
        <v>34</v>
      </c>
      <c r="C172" t="s">
        <v>51</v>
      </c>
      <c r="D172">
        <v>1</v>
      </c>
      <c r="E172">
        <v>25000</v>
      </c>
      <c r="F172">
        <f>Table1[[#This Row],[Qty]]*Table1[[#This Row],[Price]]</f>
        <v>25000</v>
      </c>
      <c r="G172" t="s">
        <v>5</v>
      </c>
      <c r="H172" t="str">
        <f t="shared" si="2"/>
        <v>Bình thường</v>
      </c>
      <c r="I172" s="1">
        <v>0.87291666666666667</v>
      </c>
    </row>
    <row r="173" spans="1:9" x14ac:dyDescent="0.3">
      <c r="A173" t="s">
        <v>15</v>
      </c>
      <c r="B173" t="s">
        <v>47</v>
      </c>
      <c r="C173" t="s">
        <v>52</v>
      </c>
      <c r="D173">
        <v>3</v>
      </c>
      <c r="E173">
        <v>20000</v>
      </c>
      <c r="F173">
        <f>Table1[[#This Row],[Qty]]*Table1[[#This Row],[Price]]</f>
        <v>60000</v>
      </c>
      <c r="G173" t="s">
        <v>4</v>
      </c>
      <c r="H173" t="str">
        <f t="shared" si="2"/>
        <v>Bình thường</v>
      </c>
      <c r="I173" s="1">
        <v>0.34236111111111112</v>
      </c>
    </row>
    <row r="174" spans="1:9" x14ac:dyDescent="0.3">
      <c r="A174" t="s">
        <v>21</v>
      </c>
      <c r="B174" t="s">
        <v>40</v>
      </c>
      <c r="C174" t="s">
        <v>49</v>
      </c>
      <c r="D174">
        <v>1</v>
      </c>
      <c r="E174">
        <v>55000</v>
      </c>
      <c r="F174">
        <f>Table1[[#This Row],[Qty]]*Table1[[#This Row],[Price]]</f>
        <v>55000</v>
      </c>
      <c r="G174" t="s">
        <v>5</v>
      </c>
      <c r="H174" t="str">
        <f t="shared" si="2"/>
        <v>Bình thường</v>
      </c>
      <c r="I174" s="1">
        <v>0.83611111111111114</v>
      </c>
    </row>
    <row r="175" spans="1:9" x14ac:dyDescent="0.3">
      <c r="A175" t="s">
        <v>9</v>
      </c>
      <c r="B175" t="s">
        <v>42</v>
      </c>
      <c r="C175" t="s">
        <v>49</v>
      </c>
      <c r="D175">
        <v>3</v>
      </c>
      <c r="E175">
        <v>60000</v>
      </c>
      <c r="F175">
        <f>Table1[[#This Row],[Qty]]*Table1[[#This Row],[Price]]</f>
        <v>180000</v>
      </c>
      <c r="G175" t="s">
        <v>4</v>
      </c>
      <c r="H175" t="str">
        <f t="shared" si="2"/>
        <v>Bình thường</v>
      </c>
      <c r="I175" s="1">
        <v>0.56319444444444444</v>
      </c>
    </row>
    <row r="176" spans="1:9" x14ac:dyDescent="0.3">
      <c r="A176" t="s">
        <v>14</v>
      </c>
      <c r="B176" t="s">
        <v>33</v>
      </c>
      <c r="C176" t="s">
        <v>52</v>
      </c>
      <c r="D176">
        <v>2</v>
      </c>
      <c r="E176">
        <v>25000</v>
      </c>
      <c r="F176">
        <f>Table1[[#This Row],[Qty]]*Table1[[#This Row],[Price]]</f>
        <v>50000</v>
      </c>
      <c r="G176" t="s">
        <v>4</v>
      </c>
      <c r="H176" t="str">
        <f t="shared" si="2"/>
        <v>Bình thường</v>
      </c>
      <c r="I176" s="1">
        <v>0.57499999999999996</v>
      </c>
    </row>
    <row r="177" spans="1:9" x14ac:dyDescent="0.3">
      <c r="A177" t="s">
        <v>18</v>
      </c>
      <c r="B177" t="s">
        <v>33</v>
      </c>
      <c r="C177" t="s">
        <v>52</v>
      </c>
      <c r="D177">
        <v>4</v>
      </c>
      <c r="E177">
        <v>25000</v>
      </c>
      <c r="F177">
        <f>Table1[[#This Row],[Qty]]*Table1[[#This Row],[Price]]</f>
        <v>100000</v>
      </c>
      <c r="G177" t="s">
        <v>5</v>
      </c>
      <c r="H177" t="str">
        <f t="shared" si="2"/>
        <v>Bình thường</v>
      </c>
      <c r="I177" s="1">
        <v>0.88541666666666663</v>
      </c>
    </row>
    <row r="178" spans="1:9" x14ac:dyDescent="0.3">
      <c r="A178" t="s">
        <v>12</v>
      </c>
      <c r="B178" t="s">
        <v>39</v>
      </c>
      <c r="C178" t="s">
        <v>52</v>
      </c>
      <c r="D178">
        <v>3</v>
      </c>
      <c r="E178">
        <v>35000</v>
      </c>
      <c r="F178">
        <f>Table1[[#This Row],[Qty]]*Table1[[#This Row],[Price]]</f>
        <v>105000</v>
      </c>
      <c r="G178" t="s">
        <v>5</v>
      </c>
      <c r="H178" t="str">
        <f t="shared" si="2"/>
        <v>Bình thường</v>
      </c>
      <c r="I178" s="1">
        <v>0.90902777777777777</v>
      </c>
    </row>
    <row r="179" spans="1:9" x14ac:dyDescent="0.3">
      <c r="A179" t="s">
        <v>23</v>
      </c>
      <c r="B179" t="s">
        <v>45</v>
      </c>
      <c r="C179" t="s">
        <v>49</v>
      </c>
      <c r="D179">
        <v>2</v>
      </c>
      <c r="E179">
        <v>50000</v>
      </c>
      <c r="F179">
        <f>Table1[[#This Row],[Qty]]*Table1[[#This Row],[Price]]</f>
        <v>100000</v>
      </c>
      <c r="G179" t="s">
        <v>4</v>
      </c>
      <c r="H179" t="str">
        <f t="shared" si="2"/>
        <v>Cao điểm</v>
      </c>
      <c r="I179" s="1">
        <v>0.50763888888888886</v>
      </c>
    </row>
    <row r="180" spans="1:9" x14ac:dyDescent="0.3">
      <c r="A180" t="s">
        <v>17</v>
      </c>
      <c r="B180" t="s">
        <v>26</v>
      </c>
      <c r="C180" t="s">
        <v>49</v>
      </c>
      <c r="D180">
        <v>1</v>
      </c>
      <c r="E180">
        <v>45000</v>
      </c>
      <c r="F180">
        <f>Table1[[#This Row],[Qty]]*Table1[[#This Row],[Price]]</f>
        <v>45000</v>
      </c>
      <c r="G180" t="s">
        <v>5</v>
      </c>
      <c r="H180" t="str">
        <f t="shared" si="2"/>
        <v>Cao điểm</v>
      </c>
      <c r="I180" s="1">
        <v>0.77361111111111114</v>
      </c>
    </row>
    <row r="181" spans="1:9" x14ac:dyDescent="0.3">
      <c r="A181" t="s">
        <v>19</v>
      </c>
      <c r="B181" t="s">
        <v>46</v>
      </c>
      <c r="C181" t="s">
        <v>49</v>
      </c>
      <c r="D181">
        <v>3</v>
      </c>
      <c r="E181">
        <v>35000</v>
      </c>
      <c r="F181">
        <f>Table1[[#This Row],[Qty]]*Table1[[#This Row],[Price]]</f>
        <v>105000</v>
      </c>
      <c r="G181" t="s">
        <v>4</v>
      </c>
      <c r="H181" t="str">
        <f t="shared" si="2"/>
        <v>Bình thường</v>
      </c>
      <c r="I181" s="1">
        <v>0.42152777777777778</v>
      </c>
    </row>
    <row r="182" spans="1:9" x14ac:dyDescent="0.3">
      <c r="A182" t="s">
        <v>21</v>
      </c>
      <c r="B182" t="s">
        <v>27</v>
      </c>
      <c r="C182" t="s">
        <v>50</v>
      </c>
      <c r="D182">
        <v>1</v>
      </c>
      <c r="E182">
        <v>18000</v>
      </c>
      <c r="F182">
        <f>Table1[[#This Row],[Qty]]*Table1[[#This Row],[Price]]</f>
        <v>18000</v>
      </c>
      <c r="G182" t="s">
        <v>5</v>
      </c>
      <c r="H182" t="str">
        <f t="shared" si="2"/>
        <v>Bình thường</v>
      </c>
      <c r="I182" s="1">
        <v>0.71875</v>
      </c>
    </row>
    <row r="183" spans="1:9" x14ac:dyDescent="0.3">
      <c r="A183" t="s">
        <v>25</v>
      </c>
      <c r="B183" t="s">
        <v>44</v>
      </c>
      <c r="C183" t="s">
        <v>51</v>
      </c>
      <c r="D183">
        <v>4</v>
      </c>
      <c r="E183">
        <v>30000</v>
      </c>
      <c r="F183">
        <f>Table1[[#This Row],[Qty]]*Table1[[#This Row],[Price]]</f>
        <v>120000</v>
      </c>
      <c r="G183" t="s">
        <v>4</v>
      </c>
      <c r="H183" t="str">
        <f t="shared" si="2"/>
        <v>Cao điểm</v>
      </c>
      <c r="I183" s="1">
        <v>0.53125</v>
      </c>
    </row>
    <row r="184" spans="1:9" x14ac:dyDescent="0.3">
      <c r="A184" t="s">
        <v>13</v>
      </c>
      <c r="B184" t="s">
        <v>31</v>
      </c>
      <c r="C184" t="s">
        <v>52</v>
      </c>
      <c r="D184">
        <v>2</v>
      </c>
      <c r="E184">
        <v>45000</v>
      </c>
      <c r="F184">
        <f>Table1[[#This Row],[Qty]]*Table1[[#This Row],[Price]]</f>
        <v>90000</v>
      </c>
      <c r="G184" t="s">
        <v>5</v>
      </c>
      <c r="H184" t="str">
        <f t="shared" si="2"/>
        <v>Bình thường</v>
      </c>
      <c r="I184" s="1">
        <v>0.86527777777777781</v>
      </c>
    </row>
    <row r="185" spans="1:9" x14ac:dyDescent="0.3">
      <c r="A185" t="s">
        <v>8</v>
      </c>
      <c r="B185" t="s">
        <v>33</v>
      </c>
      <c r="C185" t="s">
        <v>52</v>
      </c>
      <c r="D185">
        <v>3</v>
      </c>
      <c r="E185">
        <v>25000</v>
      </c>
      <c r="F185">
        <f>Table1[[#This Row],[Qty]]*Table1[[#This Row],[Price]]</f>
        <v>75000</v>
      </c>
      <c r="G185" t="s">
        <v>4</v>
      </c>
      <c r="H185" t="str">
        <f t="shared" si="2"/>
        <v>Bình thường</v>
      </c>
      <c r="I185" s="1">
        <v>0.3347222222222222</v>
      </c>
    </row>
    <row r="186" spans="1:9" x14ac:dyDescent="0.3">
      <c r="A186" t="s">
        <v>19</v>
      </c>
      <c r="B186" t="s">
        <v>46</v>
      </c>
      <c r="C186" t="s">
        <v>49</v>
      </c>
      <c r="D186">
        <v>3</v>
      </c>
      <c r="E186">
        <v>35000</v>
      </c>
      <c r="F186">
        <f>Table1[[#This Row],[Qty]]*Table1[[#This Row],[Price]]</f>
        <v>105000</v>
      </c>
      <c r="G186" t="s">
        <v>5</v>
      </c>
      <c r="H186" t="str">
        <f t="shared" si="2"/>
        <v>Bình thường</v>
      </c>
      <c r="I186" s="1">
        <v>0.87916666666666665</v>
      </c>
    </row>
    <row r="187" spans="1:9" x14ac:dyDescent="0.3">
      <c r="A187" t="s">
        <v>7</v>
      </c>
      <c r="B187" t="s">
        <v>37</v>
      </c>
      <c r="C187" t="s">
        <v>51</v>
      </c>
      <c r="D187">
        <v>1</v>
      </c>
      <c r="E187">
        <v>15000</v>
      </c>
      <c r="F187">
        <f>Table1[[#This Row],[Qty]]*Table1[[#This Row],[Price]]</f>
        <v>15000</v>
      </c>
      <c r="G187" t="s">
        <v>5</v>
      </c>
      <c r="H187" t="str">
        <f t="shared" si="2"/>
        <v>Cao điểm</v>
      </c>
      <c r="I187" s="1">
        <v>0.8041666666666667</v>
      </c>
    </row>
    <row r="188" spans="1:9" x14ac:dyDescent="0.3">
      <c r="A188" t="s">
        <v>10</v>
      </c>
      <c r="B188" t="s">
        <v>39</v>
      </c>
      <c r="C188" t="s">
        <v>52</v>
      </c>
      <c r="D188">
        <v>2</v>
      </c>
      <c r="E188">
        <v>35000</v>
      </c>
      <c r="F188">
        <f>Table1[[#This Row],[Qty]]*Table1[[#This Row],[Price]]</f>
        <v>70000</v>
      </c>
      <c r="G188" t="s">
        <v>4</v>
      </c>
      <c r="H188" t="str">
        <f t="shared" si="2"/>
        <v>Cao điểm</v>
      </c>
      <c r="I188" s="1">
        <v>0.4826388888888889</v>
      </c>
    </row>
    <row r="189" spans="1:9" x14ac:dyDescent="0.3">
      <c r="A189" t="s">
        <v>21</v>
      </c>
      <c r="B189" t="s">
        <v>41</v>
      </c>
      <c r="C189" t="s">
        <v>51</v>
      </c>
      <c r="D189">
        <v>3</v>
      </c>
      <c r="E189">
        <v>20000</v>
      </c>
      <c r="F189">
        <f>Table1[[#This Row],[Qty]]*Table1[[#This Row],[Price]]</f>
        <v>60000</v>
      </c>
      <c r="G189" t="s">
        <v>4</v>
      </c>
      <c r="H189" t="str">
        <f t="shared" si="2"/>
        <v>Cao điểm</v>
      </c>
      <c r="I189" s="1">
        <v>0.51597222222222228</v>
      </c>
    </row>
    <row r="190" spans="1:9" x14ac:dyDescent="0.3">
      <c r="A190" t="s">
        <v>22</v>
      </c>
      <c r="B190" t="s">
        <v>40</v>
      </c>
      <c r="C190" t="s">
        <v>49</v>
      </c>
      <c r="D190">
        <v>5</v>
      </c>
      <c r="E190">
        <v>55000</v>
      </c>
      <c r="F190">
        <f>Table1[[#This Row],[Qty]]*Table1[[#This Row],[Price]]</f>
        <v>275000</v>
      </c>
      <c r="G190" t="s">
        <v>4</v>
      </c>
      <c r="H190" t="str">
        <f t="shared" si="2"/>
        <v>Bình thường</v>
      </c>
      <c r="I190" s="1">
        <v>0.36875000000000002</v>
      </c>
    </row>
    <row r="191" spans="1:9" x14ac:dyDescent="0.3">
      <c r="A191" t="s">
        <v>23</v>
      </c>
      <c r="B191" t="s">
        <v>34</v>
      </c>
      <c r="C191" t="s">
        <v>51</v>
      </c>
      <c r="D191">
        <v>3</v>
      </c>
      <c r="E191">
        <v>25000</v>
      </c>
      <c r="F191">
        <f>Table1[[#This Row],[Qty]]*Table1[[#This Row],[Price]]</f>
        <v>75000</v>
      </c>
      <c r="G191" t="s">
        <v>4</v>
      </c>
      <c r="H191" t="str">
        <f t="shared" si="2"/>
        <v>Bình thường</v>
      </c>
      <c r="I191" s="1">
        <v>0.40208333333333335</v>
      </c>
    </row>
    <row r="192" spans="1:9" x14ac:dyDescent="0.3">
      <c r="A192" t="s">
        <v>22</v>
      </c>
      <c r="B192" t="s">
        <v>33</v>
      </c>
      <c r="C192" t="s">
        <v>52</v>
      </c>
      <c r="D192">
        <v>1</v>
      </c>
      <c r="E192">
        <v>25000</v>
      </c>
      <c r="F192">
        <f>Table1[[#This Row],[Qty]]*Table1[[#This Row],[Price]]</f>
        <v>25000</v>
      </c>
      <c r="G192" t="s">
        <v>5</v>
      </c>
      <c r="H192" t="str">
        <f t="shared" si="2"/>
        <v>Bình thường</v>
      </c>
      <c r="I192" s="1">
        <v>0.73124999999999996</v>
      </c>
    </row>
    <row r="193" spans="1:9" x14ac:dyDescent="0.3">
      <c r="A193" t="s">
        <v>20</v>
      </c>
      <c r="B193" t="s">
        <v>37</v>
      </c>
      <c r="C193" t="s">
        <v>51</v>
      </c>
      <c r="D193">
        <v>1</v>
      </c>
      <c r="E193">
        <v>15000</v>
      </c>
      <c r="F193">
        <f>Table1[[#This Row],[Qty]]*Table1[[#This Row],[Price]]</f>
        <v>15000</v>
      </c>
      <c r="G193" t="s">
        <v>5</v>
      </c>
      <c r="H193" t="str">
        <f t="shared" si="2"/>
        <v>Bình thường</v>
      </c>
      <c r="I193" s="1">
        <v>0.87430555555555556</v>
      </c>
    </row>
    <row r="194" spans="1:9" x14ac:dyDescent="0.3">
      <c r="A194" t="s">
        <v>13</v>
      </c>
      <c r="B194" t="s">
        <v>35</v>
      </c>
      <c r="C194" t="s">
        <v>50</v>
      </c>
      <c r="D194">
        <v>4</v>
      </c>
      <c r="E194">
        <v>20000</v>
      </c>
      <c r="F194">
        <f>Table1[[#This Row],[Qty]]*Table1[[#This Row],[Price]]</f>
        <v>80000</v>
      </c>
      <c r="G194" t="s">
        <v>5</v>
      </c>
      <c r="H194" t="str">
        <f t="shared" ref="H194:H257" si="3">IF(OR(AND(HOUR(I194)&gt;=11, HOUR(I194)&lt;13), AND(HOUR(I194)&gt;=18, HOUR(I194)&lt;20)), "Cao điểm", "Bình thường")</f>
        <v>Bình thường</v>
      </c>
      <c r="I194" s="1">
        <v>0.83750000000000002</v>
      </c>
    </row>
    <row r="195" spans="1:9" x14ac:dyDescent="0.3">
      <c r="A195" t="s">
        <v>20</v>
      </c>
      <c r="B195" t="s">
        <v>43</v>
      </c>
      <c r="C195" t="s">
        <v>51</v>
      </c>
      <c r="D195">
        <v>5</v>
      </c>
      <c r="E195">
        <v>25000</v>
      </c>
      <c r="F195">
        <f>Table1[[#This Row],[Qty]]*Table1[[#This Row],[Price]]</f>
        <v>125000</v>
      </c>
      <c r="G195" t="s">
        <v>4</v>
      </c>
      <c r="H195" t="str">
        <f t="shared" si="3"/>
        <v>Bình thường</v>
      </c>
      <c r="I195" s="1">
        <v>0.42430555555555555</v>
      </c>
    </row>
    <row r="196" spans="1:9" x14ac:dyDescent="0.3">
      <c r="A196" t="s">
        <v>22</v>
      </c>
      <c r="B196" t="s">
        <v>36</v>
      </c>
      <c r="C196" t="s">
        <v>50</v>
      </c>
      <c r="D196">
        <v>1</v>
      </c>
      <c r="E196">
        <v>22000</v>
      </c>
      <c r="F196">
        <f>Table1[[#This Row],[Qty]]*Table1[[#This Row],[Price]]</f>
        <v>22000</v>
      </c>
      <c r="G196" t="s">
        <v>5</v>
      </c>
      <c r="H196" t="str">
        <f t="shared" si="3"/>
        <v>Bình thường</v>
      </c>
      <c r="I196" s="1">
        <v>0.84513888888888888</v>
      </c>
    </row>
    <row r="197" spans="1:9" x14ac:dyDescent="0.3">
      <c r="A197" t="s">
        <v>21</v>
      </c>
      <c r="B197" t="s">
        <v>26</v>
      </c>
      <c r="C197" t="s">
        <v>49</v>
      </c>
      <c r="D197">
        <v>4</v>
      </c>
      <c r="E197">
        <v>45000</v>
      </c>
      <c r="F197">
        <f>Table1[[#This Row],[Qty]]*Table1[[#This Row],[Price]]</f>
        <v>180000</v>
      </c>
      <c r="G197" t="s">
        <v>4</v>
      </c>
      <c r="H197" t="str">
        <f t="shared" si="3"/>
        <v>Bình thường</v>
      </c>
      <c r="I197" s="1">
        <v>0.5708333333333333</v>
      </c>
    </row>
    <row r="198" spans="1:9" x14ac:dyDescent="0.3">
      <c r="A198" t="s">
        <v>24</v>
      </c>
      <c r="B198" t="s">
        <v>35</v>
      </c>
      <c r="C198" t="s">
        <v>50</v>
      </c>
      <c r="D198">
        <v>4</v>
      </c>
      <c r="E198">
        <v>20000</v>
      </c>
      <c r="F198">
        <f>Table1[[#This Row],[Qty]]*Table1[[#This Row],[Price]]</f>
        <v>80000</v>
      </c>
      <c r="G198" t="s">
        <v>5</v>
      </c>
      <c r="H198" t="str">
        <f t="shared" si="3"/>
        <v>Bình thường</v>
      </c>
      <c r="I198" s="1">
        <v>0.86319444444444449</v>
      </c>
    </row>
    <row r="199" spans="1:9" x14ac:dyDescent="0.3">
      <c r="A199" t="s">
        <v>17</v>
      </c>
      <c r="B199" t="s">
        <v>38</v>
      </c>
      <c r="C199" t="s">
        <v>52</v>
      </c>
      <c r="D199">
        <v>5</v>
      </c>
      <c r="E199">
        <v>30000</v>
      </c>
      <c r="F199">
        <f>Table1[[#This Row],[Qty]]*Table1[[#This Row],[Price]]</f>
        <v>150000</v>
      </c>
      <c r="G199" t="s">
        <v>5</v>
      </c>
      <c r="H199" t="str">
        <f t="shared" si="3"/>
        <v>Bình thường</v>
      </c>
      <c r="I199" s="1">
        <v>0.85833333333333328</v>
      </c>
    </row>
    <row r="200" spans="1:9" x14ac:dyDescent="0.3">
      <c r="A200" t="s">
        <v>19</v>
      </c>
      <c r="B200" t="s">
        <v>35</v>
      </c>
      <c r="C200" t="s">
        <v>50</v>
      </c>
      <c r="D200">
        <v>4</v>
      </c>
      <c r="E200">
        <v>20000</v>
      </c>
      <c r="F200">
        <f>Table1[[#This Row],[Qty]]*Table1[[#This Row],[Price]]</f>
        <v>80000</v>
      </c>
      <c r="G200" t="s">
        <v>5</v>
      </c>
      <c r="H200" t="str">
        <f t="shared" si="3"/>
        <v>Cao điểm</v>
      </c>
      <c r="I200" s="1">
        <v>0.7993055555555556</v>
      </c>
    </row>
    <row r="201" spans="1:9" x14ac:dyDescent="0.3">
      <c r="A201" t="s">
        <v>21</v>
      </c>
      <c r="B201" t="s">
        <v>34</v>
      </c>
      <c r="C201" t="s">
        <v>51</v>
      </c>
      <c r="D201">
        <v>2</v>
      </c>
      <c r="E201">
        <v>25000</v>
      </c>
      <c r="F201">
        <f>Table1[[#This Row],[Qty]]*Table1[[#This Row],[Price]]</f>
        <v>50000</v>
      </c>
      <c r="G201" t="s">
        <v>5</v>
      </c>
      <c r="H201" t="str">
        <f t="shared" si="3"/>
        <v>Bình thường</v>
      </c>
      <c r="I201" s="1">
        <v>0.71666666666666667</v>
      </c>
    </row>
    <row r="202" spans="1:9" x14ac:dyDescent="0.3">
      <c r="A202" t="s">
        <v>17</v>
      </c>
      <c r="B202" t="s">
        <v>32</v>
      </c>
      <c r="C202" t="s">
        <v>50</v>
      </c>
      <c r="D202">
        <v>4</v>
      </c>
      <c r="E202">
        <v>15000</v>
      </c>
      <c r="F202">
        <f>Table1[[#This Row],[Qty]]*Table1[[#This Row],[Price]]</f>
        <v>60000</v>
      </c>
      <c r="G202" t="s">
        <v>4</v>
      </c>
      <c r="H202" t="str">
        <f t="shared" si="3"/>
        <v>Cao điểm</v>
      </c>
      <c r="I202" s="1">
        <v>0.4861111111111111</v>
      </c>
    </row>
    <row r="203" spans="1:9" x14ac:dyDescent="0.3">
      <c r="A203" t="s">
        <v>6</v>
      </c>
      <c r="B203" t="s">
        <v>39</v>
      </c>
      <c r="C203" t="s">
        <v>52</v>
      </c>
      <c r="D203">
        <v>2</v>
      </c>
      <c r="E203">
        <v>35000</v>
      </c>
      <c r="F203">
        <f>Table1[[#This Row],[Qty]]*Table1[[#This Row],[Price]]</f>
        <v>70000</v>
      </c>
      <c r="G203" t="s">
        <v>5</v>
      </c>
      <c r="H203" t="str">
        <f t="shared" si="3"/>
        <v>Cao điểm</v>
      </c>
      <c r="I203" s="1">
        <v>0.78125</v>
      </c>
    </row>
    <row r="204" spans="1:9" x14ac:dyDescent="0.3">
      <c r="A204" t="s">
        <v>9</v>
      </c>
      <c r="B204" t="s">
        <v>37</v>
      </c>
      <c r="C204" t="s">
        <v>51</v>
      </c>
      <c r="D204">
        <v>1</v>
      </c>
      <c r="E204">
        <v>15000</v>
      </c>
      <c r="F204">
        <f>Table1[[#This Row],[Qty]]*Table1[[#This Row],[Price]]</f>
        <v>15000</v>
      </c>
      <c r="G204" t="s">
        <v>4</v>
      </c>
      <c r="H204" t="str">
        <f t="shared" si="3"/>
        <v>Bình thường</v>
      </c>
      <c r="I204" s="1">
        <v>0.40972222222222221</v>
      </c>
    </row>
    <row r="205" spans="1:9" x14ac:dyDescent="0.3">
      <c r="A205" t="s">
        <v>16</v>
      </c>
      <c r="B205" t="s">
        <v>35</v>
      </c>
      <c r="C205" t="s">
        <v>50</v>
      </c>
      <c r="D205">
        <v>5</v>
      </c>
      <c r="E205">
        <v>20000</v>
      </c>
      <c r="F205">
        <f>Table1[[#This Row],[Qty]]*Table1[[#This Row],[Price]]</f>
        <v>100000</v>
      </c>
      <c r="G205" t="s">
        <v>5</v>
      </c>
      <c r="H205" t="str">
        <f t="shared" si="3"/>
        <v>Bình thường</v>
      </c>
      <c r="I205" s="1">
        <v>0.86319444444444449</v>
      </c>
    </row>
    <row r="206" spans="1:9" x14ac:dyDescent="0.3">
      <c r="A206" t="s">
        <v>8</v>
      </c>
      <c r="B206" t="s">
        <v>43</v>
      </c>
      <c r="C206" t="s">
        <v>51</v>
      </c>
      <c r="D206">
        <v>1</v>
      </c>
      <c r="E206">
        <v>25000</v>
      </c>
      <c r="F206">
        <f>Table1[[#This Row],[Qty]]*Table1[[#This Row],[Price]]</f>
        <v>25000</v>
      </c>
      <c r="G206" t="s">
        <v>4</v>
      </c>
      <c r="H206" t="str">
        <f t="shared" si="3"/>
        <v>Bình thường</v>
      </c>
      <c r="I206" s="1">
        <v>0.55138888888888893</v>
      </c>
    </row>
    <row r="207" spans="1:9" x14ac:dyDescent="0.3">
      <c r="A207" t="s">
        <v>14</v>
      </c>
      <c r="B207" t="s">
        <v>39</v>
      </c>
      <c r="C207" t="s">
        <v>52</v>
      </c>
      <c r="D207">
        <v>2</v>
      </c>
      <c r="E207">
        <v>35000</v>
      </c>
      <c r="F207">
        <f>Table1[[#This Row],[Qty]]*Table1[[#This Row],[Price]]</f>
        <v>70000</v>
      </c>
      <c r="G207" t="s">
        <v>5</v>
      </c>
      <c r="H207" t="str">
        <f t="shared" si="3"/>
        <v>Bình thường</v>
      </c>
      <c r="I207" s="1">
        <v>0.71944444444444444</v>
      </c>
    </row>
    <row r="208" spans="1:9" x14ac:dyDescent="0.3">
      <c r="A208" t="s">
        <v>24</v>
      </c>
      <c r="B208" t="s">
        <v>44</v>
      </c>
      <c r="C208" t="s">
        <v>51</v>
      </c>
      <c r="D208">
        <v>3</v>
      </c>
      <c r="E208">
        <v>30000</v>
      </c>
      <c r="F208">
        <f>Table1[[#This Row],[Qty]]*Table1[[#This Row],[Price]]</f>
        <v>90000</v>
      </c>
      <c r="G208" t="s">
        <v>5</v>
      </c>
      <c r="H208" t="str">
        <f t="shared" si="3"/>
        <v>Cao điểm</v>
      </c>
      <c r="I208" s="1">
        <v>0.77916666666666667</v>
      </c>
    </row>
    <row r="209" spans="1:9" x14ac:dyDescent="0.3">
      <c r="A209" t="s">
        <v>24</v>
      </c>
      <c r="B209" t="s">
        <v>38</v>
      </c>
      <c r="C209" t="s">
        <v>52</v>
      </c>
      <c r="D209">
        <v>4</v>
      </c>
      <c r="E209">
        <v>30000</v>
      </c>
      <c r="F209">
        <f>Table1[[#This Row],[Qty]]*Table1[[#This Row],[Price]]</f>
        <v>120000</v>
      </c>
      <c r="G209" t="s">
        <v>5</v>
      </c>
      <c r="H209" t="str">
        <f t="shared" si="3"/>
        <v>Cao điểm</v>
      </c>
      <c r="I209" s="1">
        <v>0.81111111111111112</v>
      </c>
    </row>
    <row r="210" spans="1:9" x14ac:dyDescent="0.3">
      <c r="A210" t="s">
        <v>9</v>
      </c>
      <c r="B210" t="s">
        <v>32</v>
      </c>
      <c r="C210" t="s">
        <v>50</v>
      </c>
      <c r="D210">
        <v>2</v>
      </c>
      <c r="E210">
        <v>15000</v>
      </c>
      <c r="F210">
        <f>Table1[[#This Row],[Qty]]*Table1[[#This Row],[Price]]</f>
        <v>30000</v>
      </c>
      <c r="G210" t="s">
        <v>4</v>
      </c>
      <c r="H210" t="str">
        <f t="shared" si="3"/>
        <v>Bình thường</v>
      </c>
      <c r="I210" s="1">
        <v>0.33263888888888887</v>
      </c>
    </row>
    <row r="211" spans="1:9" x14ac:dyDescent="0.3">
      <c r="A211" t="s">
        <v>15</v>
      </c>
      <c r="B211" t="s">
        <v>41</v>
      </c>
      <c r="C211" t="s">
        <v>51</v>
      </c>
      <c r="D211">
        <v>3</v>
      </c>
      <c r="E211">
        <v>20000</v>
      </c>
      <c r="F211">
        <f>Table1[[#This Row],[Qty]]*Table1[[#This Row],[Price]]</f>
        <v>60000</v>
      </c>
      <c r="G211" t="s">
        <v>5</v>
      </c>
      <c r="H211" t="str">
        <f t="shared" si="3"/>
        <v>Bình thường</v>
      </c>
      <c r="I211" s="1">
        <v>0.71875</v>
      </c>
    </row>
    <row r="212" spans="1:9" x14ac:dyDescent="0.3">
      <c r="A212" t="s">
        <v>22</v>
      </c>
      <c r="B212" t="s">
        <v>28</v>
      </c>
      <c r="C212" t="s">
        <v>51</v>
      </c>
      <c r="D212">
        <v>4</v>
      </c>
      <c r="E212">
        <v>5000</v>
      </c>
      <c r="F212">
        <f>Table1[[#This Row],[Qty]]*Table1[[#This Row],[Price]]</f>
        <v>20000</v>
      </c>
      <c r="G212" t="s">
        <v>4</v>
      </c>
      <c r="H212" t="str">
        <f t="shared" si="3"/>
        <v>Bình thường</v>
      </c>
      <c r="I212" s="1">
        <v>0.37986111111111109</v>
      </c>
    </row>
    <row r="213" spans="1:9" x14ac:dyDescent="0.3">
      <c r="A213" t="s">
        <v>16</v>
      </c>
      <c r="B213" t="s">
        <v>44</v>
      </c>
      <c r="C213" t="s">
        <v>51</v>
      </c>
      <c r="D213">
        <v>3</v>
      </c>
      <c r="E213">
        <v>30000</v>
      </c>
      <c r="F213">
        <f>Table1[[#This Row],[Qty]]*Table1[[#This Row],[Price]]</f>
        <v>90000</v>
      </c>
      <c r="G213" t="s">
        <v>4</v>
      </c>
      <c r="H213" t="str">
        <f t="shared" si="3"/>
        <v>Bình thường</v>
      </c>
      <c r="I213" s="1">
        <v>0.56388888888888888</v>
      </c>
    </row>
    <row r="214" spans="1:9" x14ac:dyDescent="0.3">
      <c r="A214" t="s">
        <v>22</v>
      </c>
      <c r="B214" t="s">
        <v>45</v>
      </c>
      <c r="C214" t="s">
        <v>49</v>
      </c>
      <c r="D214">
        <v>3</v>
      </c>
      <c r="E214">
        <v>50000</v>
      </c>
      <c r="F214">
        <f>Table1[[#This Row],[Qty]]*Table1[[#This Row],[Price]]</f>
        <v>150000</v>
      </c>
      <c r="G214" t="s">
        <v>4</v>
      </c>
      <c r="H214" t="str">
        <f t="shared" si="3"/>
        <v>Cao điểm</v>
      </c>
      <c r="I214" s="1">
        <v>0.46805555555555556</v>
      </c>
    </row>
    <row r="215" spans="1:9" x14ac:dyDescent="0.3">
      <c r="A215" t="s">
        <v>16</v>
      </c>
      <c r="B215" t="s">
        <v>41</v>
      </c>
      <c r="C215" t="s">
        <v>51</v>
      </c>
      <c r="D215">
        <v>3</v>
      </c>
      <c r="E215">
        <v>20000</v>
      </c>
      <c r="F215">
        <f>Table1[[#This Row],[Qty]]*Table1[[#This Row],[Price]]</f>
        <v>60000</v>
      </c>
      <c r="G215" t="s">
        <v>5</v>
      </c>
      <c r="H215" t="str">
        <f t="shared" si="3"/>
        <v>Bình thường</v>
      </c>
      <c r="I215" s="1">
        <v>0.8881944444444444</v>
      </c>
    </row>
    <row r="216" spans="1:9" x14ac:dyDescent="0.3">
      <c r="A216" t="s">
        <v>14</v>
      </c>
      <c r="B216" t="s">
        <v>34</v>
      </c>
      <c r="C216" t="s">
        <v>51</v>
      </c>
      <c r="D216">
        <v>4</v>
      </c>
      <c r="E216">
        <v>25000</v>
      </c>
      <c r="F216">
        <f>Table1[[#This Row],[Qty]]*Table1[[#This Row],[Price]]</f>
        <v>100000</v>
      </c>
      <c r="G216" t="s">
        <v>4</v>
      </c>
      <c r="H216" t="str">
        <f t="shared" si="3"/>
        <v>Bình thường</v>
      </c>
      <c r="I216" s="1">
        <v>0.57430555555555551</v>
      </c>
    </row>
    <row r="217" spans="1:9" x14ac:dyDescent="0.3">
      <c r="A217" t="s">
        <v>20</v>
      </c>
      <c r="B217" t="s">
        <v>41</v>
      </c>
      <c r="C217" t="s">
        <v>51</v>
      </c>
      <c r="D217">
        <v>3</v>
      </c>
      <c r="E217">
        <v>20000</v>
      </c>
      <c r="F217">
        <f>Table1[[#This Row],[Qty]]*Table1[[#This Row],[Price]]</f>
        <v>60000</v>
      </c>
      <c r="G217" t="s">
        <v>5</v>
      </c>
      <c r="H217" t="str">
        <f t="shared" si="3"/>
        <v>Bình thường</v>
      </c>
      <c r="I217" s="1">
        <v>0.86250000000000004</v>
      </c>
    </row>
    <row r="218" spans="1:9" x14ac:dyDescent="0.3">
      <c r="A218" t="s">
        <v>14</v>
      </c>
      <c r="B218" t="s">
        <v>28</v>
      </c>
      <c r="C218" t="s">
        <v>51</v>
      </c>
      <c r="D218">
        <v>5</v>
      </c>
      <c r="E218">
        <v>5000</v>
      </c>
      <c r="F218">
        <f>Table1[[#This Row],[Qty]]*Table1[[#This Row],[Price]]</f>
        <v>25000</v>
      </c>
      <c r="G218" t="s">
        <v>4</v>
      </c>
      <c r="H218" t="str">
        <f t="shared" si="3"/>
        <v>Bình thường</v>
      </c>
      <c r="I218" s="1">
        <v>0.42499999999999999</v>
      </c>
    </row>
    <row r="219" spans="1:9" x14ac:dyDescent="0.3">
      <c r="A219" t="s">
        <v>18</v>
      </c>
      <c r="B219" t="s">
        <v>30</v>
      </c>
      <c r="C219" t="s">
        <v>49</v>
      </c>
      <c r="D219">
        <v>3</v>
      </c>
      <c r="E219">
        <v>55000</v>
      </c>
      <c r="F219">
        <f>Table1[[#This Row],[Qty]]*Table1[[#This Row],[Price]]</f>
        <v>165000</v>
      </c>
      <c r="G219" t="s">
        <v>5</v>
      </c>
      <c r="H219" t="str">
        <f t="shared" si="3"/>
        <v>Bình thường</v>
      </c>
      <c r="I219" s="1">
        <v>0.88263888888888886</v>
      </c>
    </row>
    <row r="220" spans="1:9" x14ac:dyDescent="0.3">
      <c r="A220" t="s">
        <v>25</v>
      </c>
      <c r="B220" t="s">
        <v>43</v>
      </c>
      <c r="C220" t="s">
        <v>51</v>
      </c>
      <c r="D220">
        <v>1</v>
      </c>
      <c r="E220">
        <v>25000</v>
      </c>
      <c r="F220">
        <f>Table1[[#This Row],[Qty]]*Table1[[#This Row],[Price]]</f>
        <v>25000</v>
      </c>
      <c r="G220" t="s">
        <v>5</v>
      </c>
      <c r="H220" t="str">
        <f t="shared" si="3"/>
        <v>Bình thường</v>
      </c>
      <c r="I220" s="1">
        <v>0.73055555555555551</v>
      </c>
    </row>
    <row r="221" spans="1:9" x14ac:dyDescent="0.3">
      <c r="A221" t="s">
        <v>16</v>
      </c>
      <c r="B221" t="s">
        <v>32</v>
      </c>
      <c r="C221" t="s">
        <v>50</v>
      </c>
      <c r="D221">
        <v>4</v>
      </c>
      <c r="E221">
        <v>15000</v>
      </c>
      <c r="F221">
        <f>Table1[[#This Row],[Qty]]*Table1[[#This Row],[Price]]</f>
        <v>60000</v>
      </c>
      <c r="G221" t="s">
        <v>4</v>
      </c>
      <c r="H221" t="str">
        <f t="shared" si="3"/>
        <v>Cao điểm</v>
      </c>
      <c r="I221" s="1">
        <v>0.46111111111111114</v>
      </c>
    </row>
    <row r="222" spans="1:9" x14ac:dyDescent="0.3">
      <c r="A222" t="s">
        <v>13</v>
      </c>
      <c r="B222" t="s">
        <v>26</v>
      </c>
      <c r="C222" t="s">
        <v>49</v>
      </c>
      <c r="D222">
        <v>2</v>
      </c>
      <c r="E222">
        <v>45000</v>
      </c>
      <c r="F222">
        <f>Table1[[#This Row],[Qty]]*Table1[[#This Row],[Price]]</f>
        <v>90000</v>
      </c>
      <c r="G222" t="s">
        <v>5</v>
      </c>
      <c r="H222" t="str">
        <f t="shared" si="3"/>
        <v>Bình thường</v>
      </c>
      <c r="I222" s="1">
        <v>0.84444444444444444</v>
      </c>
    </row>
    <row r="223" spans="1:9" x14ac:dyDescent="0.3">
      <c r="A223" t="s">
        <v>17</v>
      </c>
      <c r="B223" t="s">
        <v>29</v>
      </c>
      <c r="C223" t="s">
        <v>49</v>
      </c>
      <c r="D223">
        <v>3</v>
      </c>
      <c r="E223">
        <v>65000</v>
      </c>
      <c r="F223">
        <f>Table1[[#This Row],[Qty]]*Table1[[#This Row],[Price]]</f>
        <v>195000</v>
      </c>
      <c r="G223" t="s">
        <v>4</v>
      </c>
      <c r="H223" t="str">
        <f t="shared" si="3"/>
        <v>Cao điểm</v>
      </c>
      <c r="I223" s="1">
        <v>0.53541666666666665</v>
      </c>
    </row>
    <row r="224" spans="1:9" x14ac:dyDescent="0.3">
      <c r="A224" t="s">
        <v>12</v>
      </c>
      <c r="B224" t="s">
        <v>33</v>
      </c>
      <c r="C224" t="s">
        <v>52</v>
      </c>
      <c r="D224">
        <v>4</v>
      </c>
      <c r="E224">
        <v>25000</v>
      </c>
      <c r="F224">
        <f>Table1[[#This Row],[Qty]]*Table1[[#This Row],[Price]]</f>
        <v>100000</v>
      </c>
      <c r="G224" t="s">
        <v>4</v>
      </c>
      <c r="H224" t="str">
        <f t="shared" si="3"/>
        <v>Cao điểm</v>
      </c>
      <c r="I224" s="1">
        <v>0.46597222222222223</v>
      </c>
    </row>
    <row r="225" spans="1:9" x14ac:dyDescent="0.3">
      <c r="A225" t="s">
        <v>21</v>
      </c>
      <c r="B225" t="s">
        <v>43</v>
      </c>
      <c r="C225" t="s">
        <v>51</v>
      </c>
      <c r="D225">
        <v>5</v>
      </c>
      <c r="E225">
        <v>25000</v>
      </c>
      <c r="F225">
        <f>Table1[[#This Row],[Qty]]*Table1[[#This Row],[Price]]</f>
        <v>125000</v>
      </c>
      <c r="G225" t="s">
        <v>5</v>
      </c>
      <c r="H225" t="str">
        <f t="shared" si="3"/>
        <v>Bình thường</v>
      </c>
      <c r="I225" s="1">
        <v>0.88263888888888886</v>
      </c>
    </row>
    <row r="226" spans="1:9" x14ac:dyDescent="0.3">
      <c r="A226" t="s">
        <v>9</v>
      </c>
      <c r="B226" t="s">
        <v>34</v>
      </c>
      <c r="C226" t="s">
        <v>51</v>
      </c>
      <c r="D226">
        <v>3</v>
      </c>
      <c r="E226">
        <v>25000</v>
      </c>
      <c r="F226">
        <f>Table1[[#This Row],[Qty]]*Table1[[#This Row],[Price]]</f>
        <v>75000</v>
      </c>
      <c r="G226" t="s">
        <v>4</v>
      </c>
      <c r="H226" t="str">
        <f t="shared" si="3"/>
        <v>Bình thường</v>
      </c>
      <c r="I226" s="1">
        <v>0.55208333333333337</v>
      </c>
    </row>
    <row r="227" spans="1:9" x14ac:dyDescent="0.3">
      <c r="A227" t="s">
        <v>23</v>
      </c>
      <c r="B227" t="s">
        <v>27</v>
      </c>
      <c r="C227" t="s">
        <v>50</v>
      </c>
      <c r="D227">
        <v>2</v>
      </c>
      <c r="E227">
        <v>18000</v>
      </c>
      <c r="F227">
        <f>Table1[[#This Row],[Qty]]*Table1[[#This Row],[Price]]</f>
        <v>36000</v>
      </c>
      <c r="G227" t="s">
        <v>5</v>
      </c>
      <c r="H227" t="str">
        <f t="shared" si="3"/>
        <v>Cao điểm</v>
      </c>
      <c r="I227" s="1">
        <v>0.77847222222222223</v>
      </c>
    </row>
    <row r="228" spans="1:9" x14ac:dyDescent="0.3">
      <c r="A228" t="s">
        <v>15</v>
      </c>
      <c r="B228" t="s">
        <v>43</v>
      </c>
      <c r="C228" t="s">
        <v>51</v>
      </c>
      <c r="D228">
        <v>1</v>
      </c>
      <c r="E228">
        <v>25000</v>
      </c>
      <c r="F228">
        <f>Table1[[#This Row],[Qty]]*Table1[[#This Row],[Price]]</f>
        <v>25000</v>
      </c>
      <c r="G228" t="s">
        <v>4</v>
      </c>
      <c r="H228" t="str">
        <f t="shared" si="3"/>
        <v>Cao điểm</v>
      </c>
      <c r="I228" s="1">
        <v>0.53333333333333333</v>
      </c>
    </row>
    <row r="229" spans="1:9" x14ac:dyDescent="0.3">
      <c r="A229" t="s">
        <v>17</v>
      </c>
      <c r="B229" t="s">
        <v>48</v>
      </c>
      <c r="C229" t="s">
        <v>49</v>
      </c>
      <c r="D229">
        <v>1</v>
      </c>
      <c r="E229">
        <v>50000</v>
      </c>
      <c r="F229">
        <f>Table1[[#This Row],[Qty]]*Table1[[#This Row],[Price]]</f>
        <v>50000</v>
      </c>
      <c r="G229" t="s">
        <v>4</v>
      </c>
      <c r="H229" t="str">
        <f t="shared" si="3"/>
        <v>Cao điểm</v>
      </c>
      <c r="I229" s="1">
        <v>0.50347222222222221</v>
      </c>
    </row>
    <row r="230" spans="1:9" x14ac:dyDescent="0.3">
      <c r="A230" t="s">
        <v>25</v>
      </c>
      <c r="B230" t="s">
        <v>39</v>
      </c>
      <c r="C230" t="s">
        <v>52</v>
      </c>
      <c r="D230">
        <v>5</v>
      </c>
      <c r="E230">
        <v>35000</v>
      </c>
      <c r="F230">
        <f>Table1[[#This Row],[Qty]]*Table1[[#This Row],[Price]]</f>
        <v>175000</v>
      </c>
      <c r="G230" t="s">
        <v>4</v>
      </c>
      <c r="H230" t="str">
        <f t="shared" si="3"/>
        <v>Cao điểm</v>
      </c>
      <c r="I230" s="1">
        <v>0.45902777777777776</v>
      </c>
    </row>
    <row r="231" spans="1:9" x14ac:dyDescent="0.3">
      <c r="A231" t="s">
        <v>15</v>
      </c>
      <c r="B231" t="s">
        <v>27</v>
      </c>
      <c r="C231" t="s">
        <v>50</v>
      </c>
      <c r="D231">
        <v>3</v>
      </c>
      <c r="E231">
        <v>18000</v>
      </c>
      <c r="F231">
        <f>Table1[[#This Row],[Qty]]*Table1[[#This Row],[Price]]</f>
        <v>54000</v>
      </c>
      <c r="G231" t="s">
        <v>4</v>
      </c>
      <c r="H231" t="str">
        <f t="shared" si="3"/>
        <v>Bình thường</v>
      </c>
      <c r="I231" s="1">
        <v>0.4152777777777778</v>
      </c>
    </row>
    <row r="232" spans="1:9" x14ac:dyDescent="0.3">
      <c r="A232" t="s">
        <v>12</v>
      </c>
      <c r="B232" t="s">
        <v>31</v>
      </c>
      <c r="C232" t="s">
        <v>52</v>
      </c>
      <c r="D232">
        <v>5</v>
      </c>
      <c r="E232">
        <v>45000</v>
      </c>
      <c r="F232">
        <f>Table1[[#This Row],[Qty]]*Table1[[#This Row],[Price]]</f>
        <v>225000</v>
      </c>
      <c r="G232" t="s">
        <v>4</v>
      </c>
      <c r="H232" t="str">
        <f t="shared" si="3"/>
        <v>Bình thường</v>
      </c>
      <c r="I232" s="1">
        <v>0.55000000000000004</v>
      </c>
    </row>
    <row r="233" spans="1:9" x14ac:dyDescent="0.3">
      <c r="A233" t="s">
        <v>17</v>
      </c>
      <c r="B233" t="s">
        <v>40</v>
      </c>
      <c r="C233" t="s">
        <v>49</v>
      </c>
      <c r="D233">
        <v>5</v>
      </c>
      <c r="E233">
        <v>55000</v>
      </c>
      <c r="F233">
        <f>Table1[[#This Row],[Qty]]*Table1[[#This Row],[Price]]</f>
        <v>275000</v>
      </c>
      <c r="G233" t="s">
        <v>4</v>
      </c>
      <c r="H233" t="str">
        <f t="shared" si="3"/>
        <v>Bình thường</v>
      </c>
      <c r="I233" s="1">
        <v>0.3972222222222222</v>
      </c>
    </row>
    <row r="234" spans="1:9" x14ac:dyDescent="0.3">
      <c r="A234" t="s">
        <v>16</v>
      </c>
      <c r="B234" t="s">
        <v>30</v>
      </c>
      <c r="C234" t="s">
        <v>49</v>
      </c>
      <c r="D234">
        <v>4</v>
      </c>
      <c r="E234">
        <v>55000</v>
      </c>
      <c r="F234">
        <f>Table1[[#This Row],[Qty]]*Table1[[#This Row],[Price]]</f>
        <v>220000</v>
      </c>
      <c r="G234" t="s">
        <v>4</v>
      </c>
      <c r="H234" t="str">
        <f t="shared" si="3"/>
        <v>Cao điểm</v>
      </c>
      <c r="I234" s="1">
        <v>0.54027777777777775</v>
      </c>
    </row>
    <row r="235" spans="1:9" x14ac:dyDescent="0.3">
      <c r="A235" t="s">
        <v>10</v>
      </c>
      <c r="B235" t="s">
        <v>46</v>
      </c>
      <c r="C235" t="s">
        <v>49</v>
      </c>
      <c r="D235">
        <v>2</v>
      </c>
      <c r="E235">
        <v>35000</v>
      </c>
      <c r="F235">
        <f>Table1[[#This Row],[Qty]]*Table1[[#This Row],[Price]]</f>
        <v>70000</v>
      </c>
      <c r="G235" t="s">
        <v>5</v>
      </c>
      <c r="H235" t="str">
        <f t="shared" si="3"/>
        <v>Bình thường</v>
      </c>
      <c r="I235" s="1">
        <v>0.91527777777777775</v>
      </c>
    </row>
    <row r="236" spans="1:9" x14ac:dyDescent="0.3">
      <c r="A236" t="s">
        <v>25</v>
      </c>
      <c r="B236" t="s">
        <v>31</v>
      </c>
      <c r="C236" t="s">
        <v>52</v>
      </c>
      <c r="D236">
        <v>2</v>
      </c>
      <c r="E236">
        <v>45000</v>
      </c>
      <c r="F236">
        <f>Table1[[#This Row],[Qty]]*Table1[[#This Row],[Price]]</f>
        <v>90000</v>
      </c>
      <c r="G236" t="s">
        <v>5</v>
      </c>
      <c r="H236" t="str">
        <f t="shared" si="3"/>
        <v>Bình thường</v>
      </c>
      <c r="I236" s="1">
        <v>0.8930555555555556</v>
      </c>
    </row>
    <row r="237" spans="1:9" x14ac:dyDescent="0.3">
      <c r="A237" t="s">
        <v>14</v>
      </c>
      <c r="B237" t="s">
        <v>43</v>
      </c>
      <c r="C237" t="s">
        <v>51</v>
      </c>
      <c r="D237">
        <v>3</v>
      </c>
      <c r="E237">
        <v>25000</v>
      </c>
      <c r="F237">
        <f>Table1[[#This Row],[Qty]]*Table1[[#This Row],[Price]]</f>
        <v>75000</v>
      </c>
      <c r="G237" t="s">
        <v>4</v>
      </c>
      <c r="H237" t="str">
        <f t="shared" si="3"/>
        <v>Bình thường</v>
      </c>
      <c r="I237" s="1">
        <v>0.32916666666666666</v>
      </c>
    </row>
    <row r="238" spans="1:9" x14ac:dyDescent="0.3">
      <c r="A238" t="s">
        <v>16</v>
      </c>
      <c r="B238" t="s">
        <v>45</v>
      </c>
      <c r="C238" t="s">
        <v>49</v>
      </c>
      <c r="D238">
        <v>4</v>
      </c>
      <c r="E238">
        <v>50000</v>
      </c>
      <c r="F238">
        <f>Table1[[#This Row],[Qty]]*Table1[[#This Row],[Price]]</f>
        <v>200000</v>
      </c>
      <c r="G238" t="s">
        <v>4</v>
      </c>
      <c r="H238" t="str">
        <f t="shared" si="3"/>
        <v>Bình thường</v>
      </c>
      <c r="I238" s="1">
        <v>0.41666666666666669</v>
      </c>
    </row>
    <row r="239" spans="1:9" x14ac:dyDescent="0.3">
      <c r="A239" t="s">
        <v>15</v>
      </c>
      <c r="B239" t="s">
        <v>48</v>
      </c>
      <c r="C239" t="s">
        <v>49</v>
      </c>
      <c r="D239">
        <v>2</v>
      </c>
      <c r="E239">
        <v>50000</v>
      </c>
      <c r="F239">
        <f>Table1[[#This Row],[Qty]]*Table1[[#This Row],[Price]]</f>
        <v>100000</v>
      </c>
      <c r="G239" t="s">
        <v>5</v>
      </c>
      <c r="H239" t="str">
        <f t="shared" si="3"/>
        <v>Cao điểm</v>
      </c>
      <c r="I239" s="1">
        <v>0.79027777777777775</v>
      </c>
    </row>
    <row r="240" spans="1:9" x14ac:dyDescent="0.3">
      <c r="A240" t="s">
        <v>21</v>
      </c>
      <c r="B240" t="s">
        <v>40</v>
      </c>
      <c r="C240" t="s">
        <v>49</v>
      </c>
      <c r="D240">
        <v>5</v>
      </c>
      <c r="E240">
        <v>55000</v>
      </c>
      <c r="F240">
        <f>Table1[[#This Row],[Qty]]*Table1[[#This Row],[Price]]</f>
        <v>275000</v>
      </c>
      <c r="G240" t="s">
        <v>4</v>
      </c>
      <c r="H240" t="str">
        <f t="shared" si="3"/>
        <v>Bình thường</v>
      </c>
      <c r="I240" s="1">
        <v>0.38194444444444442</v>
      </c>
    </row>
    <row r="241" spans="1:9" x14ac:dyDescent="0.3">
      <c r="A241" t="s">
        <v>8</v>
      </c>
      <c r="B241" t="s">
        <v>34</v>
      </c>
      <c r="C241" t="s">
        <v>51</v>
      </c>
      <c r="D241">
        <v>3</v>
      </c>
      <c r="E241">
        <v>25000</v>
      </c>
      <c r="F241">
        <f>Table1[[#This Row],[Qty]]*Table1[[#This Row],[Price]]</f>
        <v>75000</v>
      </c>
      <c r="G241" t="s">
        <v>4</v>
      </c>
      <c r="H241" t="str">
        <f t="shared" si="3"/>
        <v>Cao điểm</v>
      </c>
      <c r="I241" s="1">
        <v>0.50208333333333333</v>
      </c>
    </row>
    <row r="242" spans="1:9" x14ac:dyDescent="0.3">
      <c r="A242" t="s">
        <v>12</v>
      </c>
      <c r="B242" t="s">
        <v>33</v>
      </c>
      <c r="C242" t="s">
        <v>52</v>
      </c>
      <c r="D242">
        <v>3</v>
      </c>
      <c r="E242">
        <v>25000</v>
      </c>
      <c r="F242">
        <f>Table1[[#This Row],[Qty]]*Table1[[#This Row],[Price]]</f>
        <v>75000</v>
      </c>
      <c r="G242" t="s">
        <v>4</v>
      </c>
      <c r="H242" t="str">
        <f t="shared" si="3"/>
        <v>Bình thường</v>
      </c>
      <c r="I242" s="1">
        <v>0.3527777777777778</v>
      </c>
    </row>
    <row r="243" spans="1:9" x14ac:dyDescent="0.3">
      <c r="A243" t="s">
        <v>14</v>
      </c>
      <c r="B243" t="s">
        <v>33</v>
      </c>
      <c r="C243" t="s">
        <v>52</v>
      </c>
      <c r="D243">
        <v>5</v>
      </c>
      <c r="E243">
        <v>25000</v>
      </c>
      <c r="F243">
        <f>Table1[[#This Row],[Qty]]*Table1[[#This Row],[Price]]</f>
        <v>125000</v>
      </c>
      <c r="G243" t="s">
        <v>5</v>
      </c>
      <c r="H243" t="str">
        <f t="shared" si="3"/>
        <v>Bình thường</v>
      </c>
      <c r="I243" s="1">
        <v>0.70902777777777781</v>
      </c>
    </row>
    <row r="244" spans="1:9" x14ac:dyDescent="0.3">
      <c r="A244" t="s">
        <v>15</v>
      </c>
      <c r="B244" t="s">
        <v>36</v>
      </c>
      <c r="C244" t="s">
        <v>50</v>
      </c>
      <c r="D244">
        <v>1</v>
      </c>
      <c r="E244">
        <v>22000</v>
      </c>
      <c r="F244">
        <f>Table1[[#This Row],[Qty]]*Table1[[#This Row],[Price]]</f>
        <v>22000</v>
      </c>
      <c r="G244" t="s">
        <v>5</v>
      </c>
      <c r="H244" t="str">
        <f t="shared" si="3"/>
        <v>Bình thường</v>
      </c>
      <c r="I244" s="1">
        <v>0.90069444444444446</v>
      </c>
    </row>
    <row r="245" spans="1:9" x14ac:dyDescent="0.3">
      <c r="A245" t="s">
        <v>14</v>
      </c>
      <c r="B245" t="s">
        <v>27</v>
      </c>
      <c r="C245" t="s">
        <v>50</v>
      </c>
      <c r="D245">
        <v>3</v>
      </c>
      <c r="E245">
        <v>18000</v>
      </c>
      <c r="F245">
        <f>Table1[[#This Row],[Qty]]*Table1[[#This Row],[Price]]</f>
        <v>54000</v>
      </c>
      <c r="G245" t="s">
        <v>5</v>
      </c>
      <c r="H245" t="str">
        <f t="shared" si="3"/>
        <v>Bình thường</v>
      </c>
      <c r="I245" s="1">
        <v>0.8979166666666667</v>
      </c>
    </row>
    <row r="246" spans="1:9" x14ac:dyDescent="0.3">
      <c r="A246" t="s">
        <v>18</v>
      </c>
      <c r="B246" t="s">
        <v>41</v>
      </c>
      <c r="C246" t="s">
        <v>51</v>
      </c>
      <c r="D246">
        <v>1</v>
      </c>
      <c r="E246">
        <v>20000</v>
      </c>
      <c r="F246">
        <f>Table1[[#This Row],[Qty]]*Table1[[#This Row],[Price]]</f>
        <v>20000</v>
      </c>
      <c r="G246" t="s">
        <v>5</v>
      </c>
      <c r="H246" t="str">
        <f t="shared" si="3"/>
        <v>Bình thường</v>
      </c>
      <c r="I246" s="1">
        <v>0.87986111111111109</v>
      </c>
    </row>
    <row r="247" spans="1:9" x14ac:dyDescent="0.3">
      <c r="A247" t="s">
        <v>6</v>
      </c>
      <c r="B247" t="s">
        <v>35</v>
      </c>
      <c r="C247" t="s">
        <v>50</v>
      </c>
      <c r="D247">
        <v>3</v>
      </c>
      <c r="E247">
        <v>20000</v>
      </c>
      <c r="F247">
        <f>Table1[[#This Row],[Qty]]*Table1[[#This Row],[Price]]</f>
        <v>60000</v>
      </c>
      <c r="G247" t="s">
        <v>4</v>
      </c>
      <c r="H247" t="str">
        <f t="shared" si="3"/>
        <v>Cao điểm</v>
      </c>
      <c r="I247" s="1">
        <v>0.47916666666666669</v>
      </c>
    </row>
    <row r="248" spans="1:9" x14ac:dyDescent="0.3">
      <c r="A248" t="s">
        <v>10</v>
      </c>
      <c r="B248" t="s">
        <v>29</v>
      </c>
      <c r="C248" t="s">
        <v>49</v>
      </c>
      <c r="D248">
        <v>5</v>
      </c>
      <c r="E248">
        <v>65000</v>
      </c>
      <c r="F248">
        <f>Table1[[#This Row],[Qty]]*Table1[[#This Row],[Price]]</f>
        <v>325000</v>
      </c>
      <c r="G248" t="s">
        <v>4</v>
      </c>
      <c r="H248" t="str">
        <f t="shared" si="3"/>
        <v>Bình thường</v>
      </c>
      <c r="I248" s="1">
        <v>0.42430555555555555</v>
      </c>
    </row>
    <row r="249" spans="1:9" x14ac:dyDescent="0.3">
      <c r="A249" t="s">
        <v>13</v>
      </c>
      <c r="B249" t="s">
        <v>32</v>
      </c>
      <c r="C249" t="s">
        <v>50</v>
      </c>
      <c r="D249">
        <v>4</v>
      </c>
      <c r="E249">
        <v>15000</v>
      </c>
      <c r="F249">
        <f>Table1[[#This Row],[Qty]]*Table1[[#This Row],[Price]]</f>
        <v>60000</v>
      </c>
      <c r="G249" t="s">
        <v>4</v>
      </c>
      <c r="H249" t="str">
        <f t="shared" si="3"/>
        <v>Bình thường</v>
      </c>
      <c r="I249" s="1">
        <v>0.55000000000000004</v>
      </c>
    </row>
    <row r="250" spans="1:9" x14ac:dyDescent="0.3">
      <c r="A250" t="s">
        <v>10</v>
      </c>
      <c r="B250" t="s">
        <v>33</v>
      </c>
      <c r="C250" t="s">
        <v>52</v>
      </c>
      <c r="D250">
        <v>3</v>
      </c>
      <c r="E250">
        <v>25000</v>
      </c>
      <c r="F250">
        <f>Table1[[#This Row],[Qty]]*Table1[[#This Row],[Price]]</f>
        <v>75000</v>
      </c>
      <c r="G250" t="s">
        <v>4</v>
      </c>
      <c r="H250" t="str">
        <f t="shared" si="3"/>
        <v>Bình thường</v>
      </c>
      <c r="I250" s="1">
        <v>0.41041666666666665</v>
      </c>
    </row>
    <row r="251" spans="1:9" x14ac:dyDescent="0.3">
      <c r="A251" t="s">
        <v>22</v>
      </c>
      <c r="B251" t="s">
        <v>30</v>
      </c>
      <c r="C251" t="s">
        <v>49</v>
      </c>
      <c r="D251">
        <v>4</v>
      </c>
      <c r="E251">
        <v>55000</v>
      </c>
      <c r="F251">
        <f>Table1[[#This Row],[Qty]]*Table1[[#This Row],[Price]]</f>
        <v>220000</v>
      </c>
      <c r="G251" t="s">
        <v>4</v>
      </c>
      <c r="H251" t="str">
        <f t="shared" si="3"/>
        <v>Bình thường</v>
      </c>
      <c r="I251" s="1">
        <v>0.5444444444444444</v>
      </c>
    </row>
    <row r="252" spans="1:9" x14ac:dyDescent="0.3">
      <c r="A252" t="s">
        <v>17</v>
      </c>
      <c r="B252" t="s">
        <v>33</v>
      </c>
      <c r="C252" t="s">
        <v>52</v>
      </c>
      <c r="D252">
        <v>5</v>
      </c>
      <c r="E252">
        <v>25000</v>
      </c>
      <c r="F252">
        <f>Table1[[#This Row],[Qty]]*Table1[[#This Row],[Price]]</f>
        <v>125000</v>
      </c>
      <c r="G252" t="s">
        <v>4</v>
      </c>
      <c r="H252" t="str">
        <f t="shared" si="3"/>
        <v>Cao điểm</v>
      </c>
      <c r="I252" s="1">
        <v>0.49375000000000002</v>
      </c>
    </row>
    <row r="253" spans="1:9" x14ac:dyDescent="0.3">
      <c r="A253" t="s">
        <v>7</v>
      </c>
      <c r="B253" t="s">
        <v>44</v>
      </c>
      <c r="C253" t="s">
        <v>51</v>
      </c>
      <c r="D253">
        <v>3</v>
      </c>
      <c r="E253">
        <v>30000</v>
      </c>
      <c r="F253">
        <f>Table1[[#This Row],[Qty]]*Table1[[#This Row],[Price]]</f>
        <v>90000</v>
      </c>
      <c r="G253" t="s">
        <v>4</v>
      </c>
      <c r="H253" t="str">
        <f t="shared" si="3"/>
        <v>Bình thường</v>
      </c>
      <c r="I253" s="1">
        <v>0.36458333333333331</v>
      </c>
    </row>
    <row r="254" spans="1:9" x14ac:dyDescent="0.3">
      <c r="A254" t="s">
        <v>25</v>
      </c>
      <c r="B254" t="s">
        <v>30</v>
      </c>
      <c r="C254" t="s">
        <v>49</v>
      </c>
      <c r="D254">
        <v>5</v>
      </c>
      <c r="E254">
        <v>55000</v>
      </c>
      <c r="F254">
        <f>Table1[[#This Row],[Qty]]*Table1[[#This Row],[Price]]</f>
        <v>275000</v>
      </c>
      <c r="G254" t="s">
        <v>4</v>
      </c>
      <c r="H254" t="str">
        <f t="shared" si="3"/>
        <v>Cao điểm</v>
      </c>
      <c r="I254" s="1">
        <v>0.52777777777777779</v>
      </c>
    </row>
    <row r="255" spans="1:9" x14ac:dyDescent="0.3">
      <c r="A255" t="s">
        <v>9</v>
      </c>
      <c r="B255" t="s">
        <v>44</v>
      </c>
      <c r="C255" t="s">
        <v>51</v>
      </c>
      <c r="D255">
        <v>3</v>
      </c>
      <c r="E255">
        <v>30000</v>
      </c>
      <c r="F255">
        <f>Table1[[#This Row],[Qty]]*Table1[[#This Row],[Price]]</f>
        <v>90000</v>
      </c>
      <c r="G255" t="s">
        <v>5</v>
      </c>
      <c r="H255" t="str">
        <f t="shared" si="3"/>
        <v>Bình thường</v>
      </c>
      <c r="I255" s="1">
        <v>0.85902777777777772</v>
      </c>
    </row>
    <row r="256" spans="1:9" x14ac:dyDescent="0.3">
      <c r="A256" t="s">
        <v>9</v>
      </c>
      <c r="B256" t="s">
        <v>39</v>
      </c>
      <c r="C256" t="s">
        <v>52</v>
      </c>
      <c r="D256">
        <v>4</v>
      </c>
      <c r="E256">
        <v>35000</v>
      </c>
      <c r="F256">
        <f>Table1[[#This Row],[Qty]]*Table1[[#This Row],[Price]]</f>
        <v>140000</v>
      </c>
      <c r="G256" t="s">
        <v>5</v>
      </c>
      <c r="H256" t="str">
        <f t="shared" si="3"/>
        <v>Cao điểm</v>
      </c>
      <c r="I256" s="1">
        <v>0.76249999999999996</v>
      </c>
    </row>
    <row r="257" spans="1:9" x14ac:dyDescent="0.3">
      <c r="A257" t="s">
        <v>7</v>
      </c>
      <c r="B257" t="s">
        <v>45</v>
      </c>
      <c r="C257" t="s">
        <v>49</v>
      </c>
      <c r="D257">
        <v>2</v>
      </c>
      <c r="E257">
        <v>50000</v>
      </c>
      <c r="F257">
        <f>Table1[[#This Row],[Qty]]*Table1[[#This Row],[Price]]</f>
        <v>100000</v>
      </c>
      <c r="G257" t="s">
        <v>5</v>
      </c>
      <c r="H257" t="str">
        <f t="shared" si="3"/>
        <v>Bình thường</v>
      </c>
      <c r="I257" s="1">
        <v>0.8930555555555556</v>
      </c>
    </row>
    <row r="258" spans="1:9" x14ac:dyDescent="0.3">
      <c r="A258" t="s">
        <v>17</v>
      </c>
      <c r="B258" t="s">
        <v>35</v>
      </c>
      <c r="C258" t="s">
        <v>50</v>
      </c>
      <c r="D258">
        <v>5</v>
      </c>
      <c r="E258">
        <v>20000</v>
      </c>
      <c r="F258">
        <f>Table1[[#This Row],[Qty]]*Table1[[#This Row],[Price]]</f>
        <v>100000</v>
      </c>
      <c r="G258" t="s">
        <v>5</v>
      </c>
      <c r="H258" t="str">
        <f t="shared" ref="H258:H261" si="4">IF(OR(AND(HOUR(I258)&gt;=11, HOUR(I258)&lt;13), AND(HOUR(I258)&gt;=18, HOUR(I258)&lt;20)), "Cao điểm", "Bình thường")</f>
        <v>Bình thường</v>
      </c>
      <c r="I258" s="1">
        <v>0.90694444444444444</v>
      </c>
    </row>
    <row r="259" spans="1:9" x14ac:dyDescent="0.3">
      <c r="A259" t="s">
        <v>21</v>
      </c>
      <c r="B259" t="s">
        <v>30</v>
      </c>
      <c r="C259" t="s">
        <v>49</v>
      </c>
      <c r="D259">
        <v>3</v>
      </c>
      <c r="E259">
        <v>55000</v>
      </c>
      <c r="F259">
        <f>Table1[[#This Row],[Qty]]*Table1[[#This Row],[Price]]</f>
        <v>165000</v>
      </c>
      <c r="G259" t="s">
        <v>5</v>
      </c>
      <c r="H259" t="str">
        <f t="shared" si="4"/>
        <v>Cao điểm</v>
      </c>
      <c r="I259" s="1">
        <v>0.75972222222222219</v>
      </c>
    </row>
    <row r="260" spans="1:9" x14ac:dyDescent="0.3">
      <c r="A260" t="s">
        <v>13</v>
      </c>
      <c r="B260" t="s">
        <v>27</v>
      </c>
      <c r="C260" t="s">
        <v>50</v>
      </c>
      <c r="D260">
        <v>2</v>
      </c>
      <c r="E260">
        <v>18000</v>
      </c>
      <c r="F260">
        <f>Table1[[#This Row],[Qty]]*Table1[[#This Row],[Price]]</f>
        <v>36000</v>
      </c>
      <c r="G260" t="s">
        <v>5</v>
      </c>
      <c r="H260" t="str">
        <f t="shared" si="4"/>
        <v>Bình thường</v>
      </c>
      <c r="I260" s="1">
        <v>0.85138888888888886</v>
      </c>
    </row>
    <row r="261" spans="1:9" x14ac:dyDescent="0.3">
      <c r="A261" t="s">
        <v>20</v>
      </c>
      <c r="B261" t="s">
        <v>41</v>
      </c>
      <c r="C261" t="s">
        <v>51</v>
      </c>
      <c r="D261">
        <v>2</v>
      </c>
      <c r="E261">
        <v>20000</v>
      </c>
      <c r="F261">
        <f>Table1[[#This Row],[Qty]]*Table1[[#This Row],[Price]]</f>
        <v>40000</v>
      </c>
      <c r="G261" t="s">
        <v>5</v>
      </c>
      <c r="H261" t="str">
        <f t="shared" si="4"/>
        <v>Bình thường</v>
      </c>
      <c r="I261" s="1">
        <v>0.74652777777777779</v>
      </c>
    </row>
  </sheetData>
  <phoneticPr fontId="18"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Dataset_SS08_Bai2_NhaHang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Khanh Linh Le Vu</cp:lastModifiedBy>
  <dcterms:created xsi:type="dcterms:W3CDTF">2026-01-21T08:58:18Z</dcterms:created>
  <dcterms:modified xsi:type="dcterms:W3CDTF">2026-01-22T05:21:30Z</dcterms:modified>
</cp:coreProperties>
</file>