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hoan\Downloads\"/>
    </mc:Choice>
  </mc:AlternateContent>
  <xr:revisionPtr revIDLastSave="0" documentId="13_ncr:1_{34A0944D-15AC-4A56-A1CD-403F9F8D58DD}" xr6:coauthVersionLast="47" xr6:coauthVersionMax="47" xr10:uidLastSave="{00000000-0000-0000-0000-000000000000}"/>
  <bookViews>
    <workbookView xWindow="-108" yWindow="-108" windowWidth="23256" windowHeight="12456" activeTab="1" xr2:uid="{04BC6436-5C06-4F88-ACFA-42D6F6D17767}"/>
  </bookViews>
  <sheets>
    <sheet name="Sheet1" sheetId="2" r:id="rId1"/>
    <sheet name="Dataset_SS08_Bai3_SinhVien (1)" sheetId="1" r:id="rId2"/>
  </sheets>
  <definedNames>
    <definedName name="Slicer_Xep_Loai">#N/A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K2" i="1" l="1"/>
  <c r="J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alcChain>
</file>

<file path=xl/sharedStrings.xml><?xml version="1.0" encoding="utf-8"?>
<sst xmlns="http://schemas.openxmlformats.org/spreadsheetml/2006/main" count="1228" uniqueCount="89">
  <si>
    <t>Mon_Hoc</t>
  </si>
  <si>
    <t>Score</t>
  </si>
  <si>
    <t>Gender</t>
  </si>
  <si>
    <t>Lập trình Python</t>
  </si>
  <si>
    <t>Nữ</t>
  </si>
  <si>
    <t>Cấu trúc dữ liệu</t>
  </si>
  <si>
    <t>Trí tuệ nhân tạo</t>
  </si>
  <si>
    <t>Nam</t>
  </si>
  <si>
    <t>Cơ sở dữ liệu</t>
  </si>
  <si>
    <t>Mạng máy tính</t>
  </si>
  <si>
    <t>An toàn thông tin</t>
  </si>
  <si>
    <t>Hệ điều hành</t>
  </si>
  <si>
    <t>Phân tích dữ liệu</t>
  </si>
  <si>
    <t xml:space="preserve"> Đinh Thị Quỳnh </t>
  </si>
  <si>
    <t xml:space="preserve"> Lê Văn Cường </t>
  </si>
  <si>
    <t xml:space="preserve"> Hoàng Minh Đức </t>
  </si>
  <si>
    <t xml:space="preserve"> Phan Văn Sơn </t>
  </si>
  <si>
    <t xml:space="preserve"> Tạ Thị Giang </t>
  </si>
  <si>
    <t xml:space="preserve"> Nguyễn Văn An </t>
  </si>
  <si>
    <t xml:space="preserve"> Vũ Thị Hà </t>
  </si>
  <si>
    <t xml:space="preserve"> Lương Thị Uyên </t>
  </si>
  <si>
    <t xml:space="preserve"> Châu Thị Ánh </t>
  </si>
  <si>
    <t xml:space="preserve"> Trần Thị Bình </t>
  </si>
  <si>
    <t xml:space="preserve"> Bùi Văn Mạnh </t>
  </si>
  <si>
    <t xml:space="preserve"> Tô Văn Yên </t>
  </si>
  <si>
    <t xml:space="preserve"> Kiều Văn Bảo </t>
  </si>
  <si>
    <t xml:space="preserve"> Hồ Văn Thắng </t>
  </si>
  <si>
    <t xml:space="preserve"> Ngô Văn Hùng </t>
  </si>
  <si>
    <t xml:space="preserve"> Lý Thị Ngọc </t>
  </si>
  <si>
    <t xml:space="preserve"> Đỗ Thị Minh </t>
  </si>
  <si>
    <t xml:space="preserve"> Cao Văn Vinh </t>
  </si>
  <si>
    <t xml:space="preserve"> Đặng Thị Lan </t>
  </si>
  <si>
    <t xml:space="preserve"> Mai Thị Xuân </t>
  </si>
  <si>
    <t xml:space="preserve"> Từ Thị Khánh </t>
  </si>
  <si>
    <t xml:space="preserve"> Vương Văn Lộc </t>
  </si>
  <si>
    <t xml:space="preserve"> Lâm Văn Dũng </t>
  </si>
  <si>
    <t xml:space="preserve"> Đoàn Thị Chi </t>
  </si>
  <si>
    <t xml:space="preserve"> Trương Văn Nam </t>
  </si>
  <si>
    <t xml:space="preserve"> Dương Thị Tâm </t>
  </si>
  <si>
    <t xml:space="preserve"> Huỳnh Thị Oanh </t>
  </si>
  <si>
    <t xml:space="preserve"> Trịnh Văn Phong </t>
  </si>
  <si>
    <t xml:space="preserve"> Phạm Thị Dung </t>
  </si>
  <si>
    <t xml:space="preserve"> Quách Văn Hiếu </t>
  </si>
  <si>
    <t>CNTT02</t>
  </si>
  <si>
    <t>CNTT01</t>
  </si>
  <si>
    <t>CNTT03</t>
  </si>
  <si>
    <t xml:space="preserve">SV012 </t>
  </si>
  <si>
    <t xml:space="preserve">SV003 </t>
  </si>
  <si>
    <t xml:space="preserve">SV005 </t>
  </si>
  <si>
    <t xml:space="preserve">SV013 </t>
  </si>
  <si>
    <t xml:space="preserve">SV024 </t>
  </si>
  <si>
    <t xml:space="preserve">SV001 </t>
  </si>
  <si>
    <t xml:space="preserve">SV006 </t>
  </si>
  <si>
    <t xml:space="preserve">SV016 </t>
  </si>
  <si>
    <t xml:space="preserve">SV020 </t>
  </si>
  <si>
    <t xml:space="preserve">SV002 </t>
  </si>
  <si>
    <t xml:space="preserve">SV009 </t>
  </si>
  <si>
    <t xml:space="preserve">SV019 </t>
  </si>
  <si>
    <t xml:space="preserve">SV021 </t>
  </si>
  <si>
    <t xml:space="preserve">SV015 </t>
  </si>
  <si>
    <t xml:space="preserve">SV007 </t>
  </si>
  <si>
    <t xml:space="preserve">SV010 </t>
  </si>
  <si>
    <t xml:space="preserve">SV028 </t>
  </si>
  <si>
    <t xml:space="preserve">SV017 </t>
  </si>
  <si>
    <t xml:space="preserve">SV008 </t>
  </si>
  <si>
    <t xml:space="preserve">SV018 </t>
  </si>
  <si>
    <t xml:space="preserve">SV026 </t>
  </si>
  <si>
    <t xml:space="preserve">SV027 </t>
  </si>
  <si>
    <t xml:space="preserve">SV023 </t>
  </si>
  <si>
    <t xml:space="preserve">SV022 </t>
  </si>
  <si>
    <t xml:space="preserve">SV029 </t>
  </si>
  <si>
    <t xml:space="preserve">SV014 </t>
  </si>
  <si>
    <t xml:space="preserve">SV030 </t>
  </si>
  <si>
    <t xml:space="preserve">SV011 </t>
  </si>
  <si>
    <t xml:space="preserve">SV004 </t>
  </si>
  <si>
    <t xml:space="preserve">SV025 </t>
  </si>
  <si>
    <t>Ma_SV</t>
  </si>
  <si>
    <t>Ho_Ten</t>
  </si>
  <si>
    <t>Lop</t>
  </si>
  <si>
    <t>Ket_Qua</t>
  </si>
  <si>
    <t>Xep_Loai</t>
  </si>
  <si>
    <t>Row Labels</t>
  </si>
  <si>
    <t>Grand Total</t>
  </si>
  <si>
    <t>Column Labels</t>
  </si>
  <si>
    <t>Average of Score</t>
  </si>
  <si>
    <t>Điểm TB của Nữ &gt; Điểm TB của Nam</t>
  </si>
  <si>
    <t>Điểm trung bình lớp CNTT01</t>
  </si>
  <si>
    <t>Số sinh viên không đạt</t>
  </si>
  <si>
    <t>Tỷ lệ sinh viên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</si>
</sst>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applyAlignment="1">
      <alignment horizont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10" xfId="0" applyBorder="1"/>
    <xf numFmtId="1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66" formatCode="0.0"/>
    </dxf>
    <dxf>
      <numFmt numFmtId="0" formatCode="Genera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10</xdr:col>
      <xdr:colOff>411480</xdr:colOff>
      <xdr:row>1</xdr:row>
      <xdr:rowOff>121920</xdr:rowOff>
    </xdr:from>
    <xdr:to>
      <xdr:col>13</xdr:col>
      <xdr:colOff>411480</xdr:colOff>
      <xdr:row>15</xdr:row>
      <xdr:rowOff>28575</xdr:rowOff>
    </xdr:to>
    <mc:AlternateContent xmlns:mc="http://schemas.openxmlformats.org/markup-compatibility/2006">
      <mc:Choice xmlns:a14="http://schemas.microsoft.com/office/drawing/2010/main" Requires="a14">
        <xdr:graphicFrame macro="">
          <xdr:nvGraphicFramePr>
            <xdr:cNvPr id="2" name="Xep_Loai">
              <a:extLst>
                <a:ext uri="{FF2B5EF4-FFF2-40B4-BE49-F238E27FC236}">
                  <a16:creationId xmlns:a16="http://schemas.microsoft.com/office/drawing/2014/main" id="{253F37D6-E2B9-0ECB-7B45-23098E411C72}"/>
                </a:ext>
              </a:extLst>
            </xdr:cNvPr>
            <xdr:cNvGraphicFramePr/>
          </xdr:nvGraphicFramePr>
          <xdr:xfrm>
            <a:off x="0" y="0"/>
            <a:ext cx="0" cy="0"/>
          </xdr:xfrm>
          <a:graphic>
            <a:graphicData uri="http://schemas.microsoft.com/office/drawing/2010/slicer">
              <sle:slicer xmlns:sle="http://schemas.microsoft.com/office/drawing/2010/slicer" name="Xep_Loai"/>
            </a:graphicData>
          </a:graphic>
        </xdr:graphicFrame>
      </mc:Choice>
      <mc:Fallback>
        <xdr:sp macro="" textlink="">
          <xdr:nvSpPr>
            <xdr:cNvPr id="0" name=""/>
            <xdr:cNvSpPr>
              <a:spLocks noTextEdit="1"/>
            </xdr:cNvSpPr>
          </xdr:nvSpPr>
          <xdr:spPr>
            <a:xfrm>
              <a:off x="988314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 refreshedDate="46044.531921064816" createdVersion="8" refreshedVersion="8" minRefreshableVersion="3" recordCount="240" xr:uid="{C81075E1-411D-48FA-B405-8BBECF2038BF}">
  <cacheSource type="worksheet">
    <worksheetSource name="Table1"/>
  </cacheSource>
  <cacheFields count="8">
    <cacheField name="Ma_SV" numFmtId="0">
      <sharedItems/>
    </cacheField>
    <cacheField name="Ho_Ten" numFmtId="0">
      <sharedItems/>
    </cacheField>
    <cacheField name="Lop" numFmtId="0">
      <sharedItems count="3">
        <s v="CNTT02"/>
        <s v="CNTT01"/>
        <s v="CNTT03"/>
      </sharedItems>
    </cacheField>
    <cacheField name="Mon_Hoc" numFmtId="0">
      <sharedItems count="8">
        <s v="Lập trình Python"/>
        <s v="Cấu trúc dữ liệu"/>
        <s v="Trí tuệ nhân tạo"/>
        <s v="Cơ sở dữ liệu"/>
        <s v="Mạng máy tính"/>
        <s v="An toàn thông tin"/>
        <s v="Hệ điều hành"/>
        <s v="Phân tích dữ liệu"/>
      </sharedItems>
    </cacheField>
    <cacheField name="Score" numFmtId="166">
      <sharedItems containsSemiMixedTypes="0" containsString="0" containsNumber="1" minValue="2.1" maxValue="9.9"/>
    </cacheField>
    <cacheField name="Ket_Qua" numFmtId="0">
      <sharedItems/>
    </cacheField>
    <cacheField name="Xep_Loai" numFmtId="0">
      <sharedItems count="4">
        <s v="Yếu"/>
        <s v="Giỏi"/>
        <s v="Khá"/>
        <s v="Trung bình"/>
      </sharedItems>
    </cacheField>
    <cacheField name="Gender" numFmtId="0">
      <sharedItems count="2">
        <s v="Nữ"/>
        <s v="Nam"/>
      </sharedItems>
    </cacheField>
  </cacheFields>
  <extLst>
    <ext xmlns:x14="http://schemas.microsoft.com/office/spreadsheetml/2009/9/main" uri="{725AE2AE-9491-48be-B2B4-4EB974FC3084}">
      <x14:pivotCacheDefinition pivotCacheId="848335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SV012 "/>
    <s v=" Đinh Thị Quỳnh "/>
    <x v="0"/>
    <x v="0"/>
    <n v="3.9"/>
    <s v="Không đạt"/>
    <x v="0"/>
    <x v="0"/>
  </r>
  <r>
    <s v="SV003 "/>
    <s v=" Lê Văn Cường "/>
    <x v="1"/>
    <x v="1"/>
    <n v="8.6"/>
    <s v="Đạt"/>
    <x v="1"/>
    <x v="1"/>
  </r>
  <r>
    <s v="SV005 "/>
    <s v=" Hoàng Minh Đức "/>
    <x v="1"/>
    <x v="2"/>
    <n v="7"/>
    <s v="Đạt"/>
    <x v="2"/>
    <x v="1"/>
  </r>
  <r>
    <s v="SV013 "/>
    <s v=" Phan Văn Sơn "/>
    <x v="0"/>
    <x v="1"/>
    <n v="7.6"/>
    <s v="Đạt"/>
    <x v="2"/>
    <x v="1"/>
  </r>
  <r>
    <s v="SV024 "/>
    <s v=" Tạ Thị Giang "/>
    <x v="2"/>
    <x v="0"/>
    <n v="8.3000000000000007"/>
    <s v="Đạt"/>
    <x v="2"/>
    <x v="0"/>
  </r>
  <r>
    <s v="SV001 "/>
    <s v=" Nguyễn Văn An "/>
    <x v="1"/>
    <x v="3"/>
    <n v="7.9"/>
    <s v="Đạt"/>
    <x v="2"/>
    <x v="1"/>
  </r>
  <r>
    <s v="SV006 "/>
    <s v=" Vũ Thị Hà "/>
    <x v="1"/>
    <x v="1"/>
    <n v="6.6"/>
    <s v="Đạt"/>
    <x v="3"/>
    <x v="0"/>
  </r>
  <r>
    <s v="SV001 "/>
    <s v=" Nguyễn Văn An "/>
    <x v="1"/>
    <x v="1"/>
    <n v="5.0999999999999996"/>
    <s v="Đạt"/>
    <x v="3"/>
    <x v="1"/>
  </r>
  <r>
    <s v="SV001 "/>
    <s v=" Nguyễn Văn An "/>
    <x v="1"/>
    <x v="4"/>
    <n v="9.1999999999999993"/>
    <s v="Đạt"/>
    <x v="1"/>
    <x v="1"/>
  </r>
  <r>
    <s v="SV016 "/>
    <s v=" Lương Thị Uyên "/>
    <x v="0"/>
    <x v="1"/>
    <n v="9.1999999999999993"/>
    <s v="Đạt"/>
    <x v="1"/>
    <x v="0"/>
  </r>
  <r>
    <s v="SV020 "/>
    <s v=" Châu Thị Ánh "/>
    <x v="0"/>
    <x v="1"/>
    <n v="4.4000000000000004"/>
    <s v="Không đạt"/>
    <x v="0"/>
    <x v="0"/>
  </r>
  <r>
    <s v="SV006 "/>
    <s v=" Vũ Thị Hà "/>
    <x v="1"/>
    <x v="5"/>
    <n v="9.6999999999999993"/>
    <s v="Đạt"/>
    <x v="1"/>
    <x v="0"/>
  </r>
  <r>
    <s v="SV002 "/>
    <s v=" Trần Thị Bình "/>
    <x v="1"/>
    <x v="6"/>
    <n v="6"/>
    <s v="Đạt"/>
    <x v="3"/>
    <x v="0"/>
  </r>
  <r>
    <s v="SV009 "/>
    <s v=" Bùi Văn Mạnh "/>
    <x v="1"/>
    <x v="1"/>
    <n v="6.4"/>
    <s v="Đạt"/>
    <x v="3"/>
    <x v="1"/>
  </r>
  <r>
    <s v="SV019 "/>
    <s v=" Tô Văn Yên "/>
    <x v="0"/>
    <x v="3"/>
    <n v="3.4"/>
    <s v="Không đạt"/>
    <x v="0"/>
    <x v="1"/>
  </r>
  <r>
    <s v="SV021 "/>
    <s v=" Kiều Văn Bảo "/>
    <x v="2"/>
    <x v="0"/>
    <n v="7.6"/>
    <s v="Đạt"/>
    <x v="2"/>
    <x v="1"/>
  </r>
  <r>
    <s v="SV012 "/>
    <s v=" Đinh Thị Quỳnh "/>
    <x v="0"/>
    <x v="5"/>
    <n v="6.5"/>
    <s v="Đạt"/>
    <x v="3"/>
    <x v="0"/>
  </r>
  <r>
    <s v="SV015 "/>
    <s v=" Hồ Văn Thắng "/>
    <x v="0"/>
    <x v="4"/>
    <n v="7.1"/>
    <s v="Đạt"/>
    <x v="2"/>
    <x v="1"/>
  </r>
  <r>
    <s v="SV007 "/>
    <s v=" Ngô Văn Hùng "/>
    <x v="1"/>
    <x v="0"/>
    <n v="6.1"/>
    <s v="Đạt"/>
    <x v="3"/>
    <x v="1"/>
  </r>
  <r>
    <s v="SV001 "/>
    <s v=" Nguyễn Văn An "/>
    <x v="1"/>
    <x v="5"/>
    <n v="3.4"/>
    <s v="Không đạt"/>
    <x v="0"/>
    <x v="1"/>
  </r>
  <r>
    <s v="SV009 "/>
    <s v=" Bùi Văn Mạnh "/>
    <x v="1"/>
    <x v="7"/>
    <n v="8.1"/>
    <s v="Đạt"/>
    <x v="2"/>
    <x v="1"/>
  </r>
  <r>
    <s v="SV010 "/>
    <s v=" Lý Thị Ngọc "/>
    <x v="1"/>
    <x v="2"/>
    <n v="8.9"/>
    <s v="Đạt"/>
    <x v="1"/>
    <x v="0"/>
  </r>
  <r>
    <s v="SV013 "/>
    <s v=" Phan Văn Sơn "/>
    <x v="0"/>
    <x v="2"/>
    <n v="5.7"/>
    <s v="Đạt"/>
    <x v="3"/>
    <x v="1"/>
  </r>
  <r>
    <s v="SV028 "/>
    <s v=" Đỗ Thị Minh "/>
    <x v="2"/>
    <x v="3"/>
    <n v="9.1"/>
    <s v="Đạt"/>
    <x v="1"/>
    <x v="0"/>
  </r>
  <r>
    <s v="SV021 "/>
    <s v=" Kiều Văn Bảo "/>
    <x v="2"/>
    <x v="2"/>
    <n v="9.9"/>
    <s v="Đạt"/>
    <x v="1"/>
    <x v="1"/>
  </r>
  <r>
    <s v="SV006 "/>
    <s v=" Vũ Thị Hà "/>
    <x v="1"/>
    <x v="3"/>
    <n v="5.4"/>
    <s v="Đạt"/>
    <x v="3"/>
    <x v="0"/>
  </r>
  <r>
    <s v="SV010 "/>
    <s v=" Lý Thị Ngọc "/>
    <x v="1"/>
    <x v="7"/>
    <n v="6.5"/>
    <s v="Đạt"/>
    <x v="3"/>
    <x v="0"/>
  </r>
  <r>
    <s v="SV010 "/>
    <s v=" Lý Thị Ngọc "/>
    <x v="1"/>
    <x v="4"/>
    <n v="7.9"/>
    <s v="Đạt"/>
    <x v="2"/>
    <x v="0"/>
  </r>
  <r>
    <s v="SV017 "/>
    <s v=" Cao Văn Vinh "/>
    <x v="0"/>
    <x v="2"/>
    <n v="6.9"/>
    <s v="Đạt"/>
    <x v="3"/>
    <x v="1"/>
  </r>
  <r>
    <s v="SV008 "/>
    <s v=" Đặng Thị Lan "/>
    <x v="1"/>
    <x v="0"/>
    <n v="7.8"/>
    <s v="Đạt"/>
    <x v="2"/>
    <x v="0"/>
  </r>
  <r>
    <s v="SV018 "/>
    <s v=" Mai Thị Xuân "/>
    <x v="0"/>
    <x v="3"/>
    <n v="5.9"/>
    <s v="Đạt"/>
    <x v="3"/>
    <x v="0"/>
  </r>
  <r>
    <s v="SV016 "/>
    <s v=" Lương Thị Uyên "/>
    <x v="0"/>
    <x v="3"/>
    <n v="7.3"/>
    <s v="Đạt"/>
    <x v="2"/>
    <x v="0"/>
  </r>
  <r>
    <s v="SV026 "/>
    <s v=" Từ Thị Khánh "/>
    <x v="2"/>
    <x v="3"/>
    <n v="5.4"/>
    <s v="Đạt"/>
    <x v="3"/>
    <x v="0"/>
  </r>
  <r>
    <s v="SV019 "/>
    <s v=" Tô Văn Yên "/>
    <x v="0"/>
    <x v="7"/>
    <n v="2.8"/>
    <s v="Không đạt"/>
    <x v="0"/>
    <x v="1"/>
  </r>
  <r>
    <s v="SV015 "/>
    <s v=" Hồ Văn Thắng "/>
    <x v="0"/>
    <x v="3"/>
    <n v="5.5"/>
    <s v="Đạt"/>
    <x v="3"/>
    <x v="1"/>
  </r>
  <r>
    <s v="SV027 "/>
    <s v=" Vương Văn Lộc "/>
    <x v="2"/>
    <x v="0"/>
    <n v="3.7"/>
    <s v="Không đạt"/>
    <x v="0"/>
    <x v="1"/>
  </r>
  <r>
    <s v="SV023 "/>
    <s v=" Lâm Văn Dũng "/>
    <x v="2"/>
    <x v="0"/>
    <n v="8.6999999999999993"/>
    <s v="Đạt"/>
    <x v="1"/>
    <x v="1"/>
  </r>
  <r>
    <s v="SV003 "/>
    <s v=" Lê Văn Cường "/>
    <x v="1"/>
    <x v="2"/>
    <n v="5.6"/>
    <s v="Đạt"/>
    <x v="3"/>
    <x v="1"/>
  </r>
  <r>
    <s v="SV009 "/>
    <s v=" Bùi Văn Mạnh "/>
    <x v="1"/>
    <x v="6"/>
    <n v="7.8"/>
    <s v="Đạt"/>
    <x v="2"/>
    <x v="1"/>
  </r>
  <r>
    <s v="SV016 "/>
    <s v=" Lương Thị Uyên "/>
    <x v="0"/>
    <x v="6"/>
    <n v="2.7"/>
    <s v="Không đạt"/>
    <x v="0"/>
    <x v="0"/>
  </r>
  <r>
    <s v="SV020 "/>
    <s v=" Châu Thị Ánh "/>
    <x v="0"/>
    <x v="3"/>
    <n v="8.8000000000000007"/>
    <s v="Đạt"/>
    <x v="1"/>
    <x v="0"/>
  </r>
  <r>
    <s v="SV022 "/>
    <s v=" Đoàn Thị Chi "/>
    <x v="2"/>
    <x v="5"/>
    <n v="9.5"/>
    <s v="Đạt"/>
    <x v="1"/>
    <x v="0"/>
  </r>
  <r>
    <s v="SV018 "/>
    <s v=" Mai Thị Xuân "/>
    <x v="0"/>
    <x v="4"/>
    <n v="7.3"/>
    <s v="Đạt"/>
    <x v="2"/>
    <x v="0"/>
  </r>
  <r>
    <s v="SV029 "/>
    <s v=" Trương Văn Nam "/>
    <x v="2"/>
    <x v="5"/>
    <n v="6"/>
    <s v="Đạt"/>
    <x v="3"/>
    <x v="1"/>
  </r>
  <r>
    <s v="SV014 "/>
    <s v=" Dương Thị Tâm "/>
    <x v="0"/>
    <x v="3"/>
    <n v="7.6"/>
    <s v="Đạt"/>
    <x v="2"/>
    <x v="0"/>
  </r>
  <r>
    <s v="SV022 "/>
    <s v=" Đoàn Thị Chi "/>
    <x v="2"/>
    <x v="7"/>
    <n v="8.5"/>
    <s v="Đạt"/>
    <x v="1"/>
    <x v="0"/>
  </r>
  <r>
    <s v="SV027 "/>
    <s v=" Vương Văn Lộc "/>
    <x v="2"/>
    <x v="7"/>
    <n v="5.7"/>
    <s v="Đạt"/>
    <x v="3"/>
    <x v="1"/>
  </r>
  <r>
    <s v="SV030 "/>
    <s v=" Huỳnh Thị Oanh "/>
    <x v="2"/>
    <x v="2"/>
    <n v="7.2"/>
    <s v="Đạt"/>
    <x v="2"/>
    <x v="0"/>
  </r>
  <r>
    <s v="SV018 "/>
    <s v=" Mai Thị Xuân "/>
    <x v="0"/>
    <x v="7"/>
    <n v="5.3"/>
    <s v="Đạt"/>
    <x v="3"/>
    <x v="0"/>
  </r>
  <r>
    <s v="SV003 "/>
    <s v=" Lê Văn Cường "/>
    <x v="1"/>
    <x v="0"/>
    <n v="7.2"/>
    <s v="Đạt"/>
    <x v="2"/>
    <x v="1"/>
  </r>
  <r>
    <s v="SV021 "/>
    <s v=" Kiều Văn Bảo "/>
    <x v="2"/>
    <x v="5"/>
    <n v="7.8"/>
    <s v="Đạt"/>
    <x v="2"/>
    <x v="1"/>
  </r>
  <r>
    <s v="SV011 "/>
    <s v=" Trịnh Văn Phong "/>
    <x v="0"/>
    <x v="0"/>
    <n v="6.6"/>
    <s v="Đạt"/>
    <x v="3"/>
    <x v="1"/>
  </r>
  <r>
    <s v="SV004 "/>
    <s v=" Phạm Thị Dung "/>
    <x v="1"/>
    <x v="3"/>
    <n v="8.1999999999999993"/>
    <s v="Đạt"/>
    <x v="2"/>
    <x v="0"/>
  </r>
  <r>
    <s v="SV011 "/>
    <s v=" Trịnh Văn Phong "/>
    <x v="0"/>
    <x v="5"/>
    <n v="9.1"/>
    <s v="Đạt"/>
    <x v="1"/>
    <x v="1"/>
  </r>
  <r>
    <s v="SV009 "/>
    <s v=" Bùi Văn Mạnh "/>
    <x v="1"/>
    <x v="5"/>
    <n v="9.5"/>
    <s v="Đạt"/>
    <x v="1"/>
    <x v="1"/>
  </r>
  <r>
    <s v="SV029 "/>
    <s v=" Trương Văn Nam "/>
    <x v="2"/>
    <x v="6"/>
    <n v="5.7"/>
    <s v="Đạt"/>
    <x v="3"/>
    <x v="1"/>
  </r>
  <r>
    <s v="SV003 "/>
    <s v=" Lê Văn Cường "/>
    <x v="1"/>
    <x v="4"/>
    <n v="7.5"/>
    <s v="Đạt"/>
    <x v="2"/>
    <x v="1"/>
  </r>
  <r>
    <s v="SV002 "/>
    <s v=" Trần Thị Bình "/>
    <x v="1"/>
    <x v="4"/>
    <n v="9.6"/>
    <s v="Đạt"/>
    <x v="1"/>
    <x v="0"/>
  </r>
  <r>
    <s v="SV004 "/>
    <s v=" Phạm Thị Dung "/>
    <x v="1"/>
    <x v="4"/>
    <n v="6.7"/>
    <s v="Đạt"/>
    <x v="3"/>
    <x v="0"/>
  </r>
  <r>
    <s v="SV021 "/>
    <s v=" Kiều Văn Bảo "/>
    <x v="2"/>
    <x v="3"/>
    <n v="7.5"/>
    <s v="Đạt"/>
    <x v="2"/>
    <x v="1"/>
  </r>
  <r>
    <s v="SV029 "/>
    <s v=" Trương Văn Nam "/>
    <x v="2"/>
    <x v="1"/>
    <n v="2.6"/>
    <s v="Không đạt"/>
    <x v="0"/>
    <x v="1"/>
  </r>
  <r>
    <s v="SV022 "/>
    <s v=" Đoàn Thị Chi "/>
    <x v="2"/>
    <x v="2"/>
    <n v="5"/>
    <s v="Đạt"/>
    <x v="3"/>
    <x v="0"/>
  </r>
  <r>
    <s v="SV005 "/>
    <s v=" Hoàng Minh Đức "/>
    <x v="1"/>
    <x v="6"/>
    <n v="3.5"/>
    <s v="Không đạt"/>
    <x v="0"/>
    <x v="1"/>
  </r>
  <r>
    <s v="SV029 "/>
    <s v=" Trương Văn Nam "/>
    <x v="2"/>
    <x v="0"/>
    <n v="5.7"/>
    <s v="Đạt"/>
    <x v="3"/>
    <x v="1"/>
  </r>
  <r>
    <s v="SV024 "/>
    <s v=" Tạ Thị Giang "/>
    <x v="2"/>
    <x v="7"/>
    <n v="7.5"/>
    <s v="Đạt"/>
    <x v="2"/>
    <x v="0"/>
  </r>
  <r>
    <s v="SV027 "/>
    <s v=" Vương Văn Lộc "/>
    <x v="2"/>
    <x v="6"/>
    <n v="8.6"/>
    <s v="Đạt"/>
    <x v="1"/>
    <x v="1"/>
  </r>
  <r>
    <s v="SV008 "/>
    <s v=" Đặng Thị Lan "/>
    <x v="1"/>
    <x v="6"/>
    <n v="6.7"/>
    <s v="Đạt"/>
    <x v="3"/>
    <x v="0"/>
  </r>
  <r>
    <s v="SV024 "/>
    <s v=" Tạ Thị Giang "/>
    <x v="2"/>
    <x v="1"/>
    <n v="7.1"/>
    <s v="Đạt"/>
    <x v="2"/>
    <x v="0"/>
  </r>
  <r>
    <s v="SV030 "/>
    <s v=" Huỳnh Thị Oanh "/>
    <x v="2"/>
    <x v="6"/>
    <n v="6.6"/>
    <s v="Đạt"/>
    <x v="3"/>
    <x v="0"/>
  </r>
  <r>
    <s v="SV021 "/>
    <s v=" Kiều Văn Bảo "/>
    <x v="2"/>
    <x v="6"/>
    <n v="6.7"/>
    <s v="Đạt"/>
    <x v="3"/>
    <x v="1"/>
  </r>
  <r>
    <s v="SV007 "/>
    <s v=" Ngô Văn Hùng "/>
    <x v="1"/>
    <x v="6"/>
    <n v="7"/>
    <s v="Đạt"/>
    <x v="2"/>
    <x v="1"/>
  </r>
  <r>
    <s v="SV017 "/>
    <s v=" Cao Văn Vinh "/>
    <x v="0"/>
    <x v="4"/>
    <n v="4.0999999999999996"/>
    <s v="Không đạt"/>
    <x v="0"/>
    <x v="1"/>
  </r>
  <r>
    <s v="SV029 "/>
    <s v=" Trương Văn Nam "/>
    <x v="2"/>
    <x v="4"/>
    <n v="6.7"/>
    <s v="Đạt"/>
    <x v="3"/>
    <x v="1"/>
  </r>
  <r>
    <s v="SV027 "/>
    <s v=" Vương Văn Lộc "/>
    <x v="2"/>
    <x v="2"/>
    <n v="9.1"/>
    <s v="Đạt"/>
    <x v="1"/>
    <x v="1"/>
  </r>
  <r>
    <s v="SV011 "/>
    <s v=" Trịnh Văn Phong "/>
    <x v="0"/>
    <x v="7"/>
    <n v="5.2"/>
    <s v="Đạt"/>
    <x v="3"/>
    <x v="1"/>
  </r>
  <r>
    <s v="SV023 "/>
    <s v=" Lâm Văn Dũng "/>
    <x v="2"/>
    <x v="1"/>
    <n v="9.6999999999999993"/>
    <s v="Đạt"/>
    <x v="1"/>
    <x v="1"/>
  </r>
  <r>
    <s v="SV028 "/>
    <s v=" Đỗ Thị Minh "/>
    <x v="2"/>
    <x v="5"/>
    <n v="6.7"/>
    <s v="Đạt"/>
    <x v="3"/>
    <x v="0"/>
  </r>
  <r>
    <s v="SV014 "/>
    <s v=" Dương Thị Tâm "/>
    <x v="0"/>
    <x v="1"/>
    <n v="5"/>
    <s v="Đạt"/>
    <x v="3"/>
    <x v="0"/>
  </r>
  <r>
    <s v="SV011 "/>
    <s v=" Trịnh Văn Phong "/>
    <x v="0"/>
    <x v="6"/>
    <n v="7.8"/>
    <s v="Đạt"/>
    <x v="2"/>
    <x v="1"/>
  </r>
  <r>
    <s v="SV020 "/>
    <s v=" Châu Thị Ánh "/>
    <x v="0"/>
    <x v="0"/>
    <n v="7.4"/>
    <s v="Đạt"/>
    <x v="2"/>
    <x v="0"/>
  </r>
  <r>
    <s v="SV026 "/>
    <s v=" Từ Thị Khánh "/>
    <x v="2"/>
    <x v="5"/>
    <n v="3.7"/>
    <s v="Không đạt"/>
    <x v="0"/>
    <x v="0"/>
  </r>
  <r>
    <s v="SV002 "/>
    <s v=" Trần Thị Bình "/>
    <x v="1"/>
    <x v="5"/>
    <n v="3.4"/>
    <s v="Không đạt"/>
    <x v="0"/>
    <x v="0"/>
  </r>
  <r>
    <s v="SV013 "/>
    <s v=" Phan Văn Sơn "/>
    <x v="0"/>
    <x v="5"/>
    <n v="9.5"/>
    <s v="Đạt"/>
    <x v="1"/>
    <x v="1"/>
  </r>
  <r>
    <s v="SV013 "/>
    <s v=" Phan Văn Sơn "/>
    <x v="0"/>
    <x v="6"/>
    <n v="8.6"/>
    <s v="Đạt"/>
    <x v="1"/>
    <x v="1"/>
  </r>
  <r>
    <s v="SV002 "/>
    <s v=" Trần Thị Bình "/>
    <x v="1"/>
    <x v="1"/>
    <n v="7.6"/>
    <s v="Đạt"/>
    <x v="2"/>
    <x v="0"/>
  </r>
  <r>
    <s v="SV008 "/>
    <s v=" Đặng Thị Lan "/>
    <x v="1"/>
    <x v="3"/>
    <n v="8.1"/>
    <s v="Đạt"/>
    <x v="2"/>
    <x v="0"/>
  </r>
  <r>
    <s v="SV020 "/>
    <s v=" Châu Thị Ánh "/>
    <x v="0"/>
    <x v="5"/>
    <n v="5.8"/>
    <s v="Đạt"/>
    <x v="3"/>
    <x v="0"/>
  </r>
  <r>
    <s v="SV022 "/>
    <s v=" Đoàn Thị Chi "/>
    <x v="2"/>
    <x v="3"/>
    <n v="9.9"/>
    <s v="Đạt"/>
    <x v="1"/>
    <x v="0"/>
  </r>
  <r>
    <s v="SV014 "/>
    <s v=" Dương Thị Tâm "/>
    <x v="0"/>
    <x v="6"/>
    <n v="6.7"/>
    <s v="Đạt"/>
    <x v="3"/>
    <x v="0"/>
  </r>
  <r>
    <s v="SV007 "/>
    <s v=" Ngô Văn Hùng "/>
    <x v="1"/>
    <x v="1"/>
    <n v="8.3000000000000007"/>
    <s v="Đạt"/>
    <x v="2"/>
    <x v="1"/>
  </r>
  <r>
    <s v="SV022 "/>
    <s v=" Đoàn Thị Chi "/>
    <x v="2"/>
    <x v="0"/>
    <n v="9.8000000000000007"/>
    <s v="Đạt"/>
    <x v="1"/>
    <x v="0"/>
  </r>
  <r>
    <s v="SV025 "/>
    <s v=" Quách Văn Hiếu "/>
    <x v="2"/>
    <x v="1"/>
    <n v="7.9"/>
    <s v="Đạt"/>
    <x v="2"/>
    <x v="1"/>
  </r>
  <r>
    <s v="SV026 "/>
    <s v=" Từ Thị Khánh "/>
    <x v="2"/>
    <x v="6"/>
    <n v="6.3"/>
    <s v="Đạt"/>
    <x v="3"/>
    <x v="0"/>
  </r>
  <r>
    <s v="SV024 "/>
    <s v=" Tạ Thị Giang "/>
    <x v="2"/>
    <x v="5"/>
    <n v="9.8000000000000007"/>
    <s v="Đạt"/>
    <x v="1"/>
    <x v="0"/>
  </r>
  <r>
    <s v="SV014 "/>
    <s v=" Dương Thị Tâm "/>
    <x v="0"/>
    <x v="2"/>
    <n v="7"/>
    <s v="Đạt"/>
    <x v="2"/>
    <x v="0"/>
  </r>
  <r>
    <s v="SV005 "/>
    <s v=" Hoàng Minh Đức "/>
    <x v="1"/>
    <x v="1"/>
    <n v="8.3000000000000007"/>
    <s v="Đạt"/>
    <x v="2"/>
    <x v="1"/>
  </r>
  <r>
    <s v="SV016 "/>
    <s v=" Lương Thị Uyên "/>
    <x v="0"/>
    <x v="5"/>
    <n v="9.5"/>
    <s v="Đạt"/>
    <x v="1"/>
    <x v="0"/>
  </r>
  <r>
    <s v="SV011 "/>
    <s v=" Trịnh Văn Phong "/>
    <x v="0"/>
    <x v="4"/>
    <n v="8.6"/>
    <s v="Đạt"/>
    <x v="1"/>
    <x v="1"/>
  </r>
  <r>
    <s v="SV020 "/>
    <s v=" Châu Thị Ánh "/>
    <x v="0"/>
    <x v="6"/>
    <n v="9.6999999999999993"/>
    <s v="Đạt"/>
    <x v="1"/>
    <x v="0"/>
  </r>
  <r>
    <s v="SV005 "/>
    <s v=" Hoàng Minh Đức "/>
    <x v="1"/>
    <x v="0"/>
    <n v="6.7"/>
    <s v="Đạt"/>
    <x v="3"/>
    <x v="1"/>
  </r>
  <r>
    <s v="SV021 "/>
    <s v=" Kiều Văn Bảo "/>
    <x v="2"/>
    <x v="7"/>
    <n v="9.1999999999999993"/>
    <s v="Đạt"/>
    <x v="1"/>
    <x v="1"/>
  </r>
  <r>
    <s v="SV012 "/>
    <s v=" Đinh Thị Quỳnh "/>
    <x v="0"/>
    <x v="3"/>
    <n v="8.8000000000000007"/>
    <s v="Đạt"/>
    <x v="1"/>
    <x v="0"/>
  </r>
  <r>
    <s v="SV030 "/>
    <s v=" Huỳnh Thị Oanh "/>
    <x v="2"/>
    <x v="1"/>
    <n v="7.4"/>
    <s v="Đạt"/>
    <x v="2"/>
    <x v="0"/>
  </r>
  <r>
    <s v="SV020 "/>
    <s v=" Châu Thị Ánh "/>
    <x v="0"/>
    <x v="7"/>
    <n v="4.8"/>
    <s v="Không đạt"/>
    <x v="0"/>
    <x v="0"/>
  </r>
  <r>
    <s v="SV028 "/>
    <s v=" Đỗ Thị Minh "/>
    <x v="2"/>
    <x v="7"/>
    <n v="9.6999999999999993"/>
    <s v="Đạt"/>
    <x v="1"/>
    <x v="0"/>
  </r>
  <r>
    <s v="SV013 "/>
    <s v=" Phan Văn Sơn "/>
    <x v="0"/>
    <x v="3"/>
    <n v="7.2"/>
    <s v="Đạt"/>
    <x v="2"/>
    <x v="1"/>
  </r>
  <r>
    <s v="SV027 "/>
    <s v=" Vương Văn Lộc "/>
    <x v="2"/>
    <x v="1"/>
    <n v="4.5"/>
    <s v="Không đạt"/>
    <x v="0"/>
    <x v="1"/>
  </r>
  <r>
    <s v="SV017 "/>
    <s v=" Cao Văn Vinh "/>
    <x v="0"/>
    <x v="7"/>
    <n v="7"/>
    <s v="Đạt"/>
    <x v="2"/>
    <x v="1"/>
  </r>
  <r>
    <s v="SV020 "/>
    <s v=" Châu Thị Ánh "/>
    <x v="0"/>
    <x v="2"/>
    <n v="8.1999999999999993"/>
    <s v="Đạt"/>
    <x v="2"/>
    <x v="0"/>
  </r>
  <r>
    <s v="SV018 "/>
    <s v=" Mai Thị Xuân "/>
    <x v="0"/>
    <x v="6"/>
    <n v="2.2999999999999998"/>
    <s v="Không đạt"/>
    <x v="0"/>
    <x v="0"/>
  </r>
  <r>
    <s v="SV001 "/>
    <s v=" Nguyễn Văn An "/>
    <x v="1"/>
    <x v="6"/>
    <n v="7.5"/>
    <s v="Đạt"/>
    <x v="2"/>
    <x v="1"/>
  </r>
  <r>
    <s v="SV007 "/>
    <s v=" Ngô Văn Hùng "/>
    <x v="1"/>
    <x v="3"/>
    <n v="7.4"/>
    <s v="Đạt"/>
    <x v="2"/>
    <x v="1"/>
  </r>
  <r>
    <s v="SV025 "/>
    <s v=" Quách Văn Hiếu "/>
    <x v="2"/>
    <x v="4"/>
    <n v="4.4000000000000004"/>
    <s v="Không đạt"/>
    <x v="0"/>
    <x v="1"/>
  </r>
  <r>
    <s v="SV029 "/>
    <s v=" Trương Văn Nam "/>
    <x v="2"/>
    <x v="3"/>
    <n v="6.8"/>
    <s v="Đạt"/>
    <x v="3"/>
    <x v="1"/>
  </r>
  <r>
    <s v="SV015 "/>
    <s v=" Hồ Văn Thắng "/>
    <x v="0"/>
    <x v="7"/>
    <n v="6.6"/>
    <s v="Đạt"/>
    <x v="3"/>
    <x v="1"/>
  </r>
  <r>
    <s v="SV025 "/>
    <s v=" Quách Văn Hiếu "/>
    <x v="2"/>
    <x v="3"/>
    <n v="7.5"/>
    <s v="Đạt"/>
    <x v="2"/>
    <x v="1"/>
  </r>
  <r>
    <s v="SV028 "/>
    <s v=" Đỗ Thị Minh "/>
    <x v="2"/>
    <x v="1"/>
    <n v="7.1"/>
    <s v="Đạt"/>
    <x v="2"/>
    <x v="0"/>
  </r>
  <r>
    <s v="SV024 "/>
    <s v=" Tạ Thị Giang "/>
    <x v="2"/>
    <x v="6"/>
    <n v="6.6"/>
    <s v="Đạt"/>
    <x v="3"/>
    <x v="0"/>
  </r>
  <r>
    <s v="SV027 "/>
    <s v=" Vương Văn Lộc "/>
    <x v="2"/>
    <x v="5"/>
    <n v="6.4"/>
    <s v="Đạt"/>
    <x v="3"/>
    <x v="1"/>
  </r>
  <r>
    <s v="SV023 "/>
    <s v=" Lâm Văn Dũng "/>
    <x v="2"/>
    <x v="5"/>
    <n v="3.7"/>
    <s v="Không đạt"/>
    <x v="0"/>
    <x v="1"/>
  </r>
  <r>
    <s v="SV030 "/>
    <s v=" Huỳnh Thị Oanh "/>
    <x v="2"/>
    <x v="4"/>
    <n v="6.8"/>
    <s v="Đạt"/>
    <x v="3"/>
    <x v="0"/>
  </r>
  <r>
    <s v="SV028 "/>
    <s v=" Đỗ Thị Minh "/>
    <x v="2"/>
    <x v="6"/>
    <n v="4.4000000000000004"/>
    <s v="Không đạt"/>
    <x v="0"/>
    <x v="0"/>
  </r>
  <r>
    <s v="SV028 "/>
    <s v=" Đỗ Thị Minh "/>
    <x v="2"/>
    <x v="4"/>
    <n v="9.1"/>
    <s v="Đạt"/>
    <x v="1"/>
    <x v="0"/>
  </r>
  <r>
    <s v="SV001 "/>
    <s v=" Nguyễn Văn An "/>
    <x v="1"/>
    <x v="0"/>
    <n v="7.1"/>
    <s v="Đạt"/>
    <x v="2"/>
    <x v="1"/>
  </r>
  <r>
    <s v="SV013 "/>
    <s v=" Phan Văn Sơn "/>
    <x v="0"/>
    <x v="4"/>
    <n v="9.4"/>
    <s v="Đạt"/>
    <x v="1"/>
    <x v="1"/>
  </r>
  <r>
    <s v="SV020 "/>
    <s v=" Châu Thị Ánh "/>
    <x v="0"/>
    <x v="4"/>
    <n v="9.6999999999999993"/>
    <s v="Đạt"/>
    <x v="1"/>
    <x v="0"/>
  </r>
  <r>
    <s v="SV012 "/>
    <s v=" Đinh Thị Quỳnh "/>
    <x v="0"/>
    <x v="7"/>
    <n v="7.7"/>
    <s v="Đạt"/>
    <x v="2"/>
    <x v="0"/>
  </r>
  <r>
    <s v="SV009 "/>
    <s v=" Bùi Văn Mạnh "/>
    <x v="1"/>
    <x v="0"/>
    <n v="7.1"/>
    <s v="Đạt"/>
    <x v="2"/>
    <x v="1"/>
  </r>
  <r>
    <s v="SV012 "/>
    <s v=" Đinh Thị Quỳnh "/>
    <x v="0"/>
    <x v="6"/>
    <n v="8.9"/>
    <s v="Đạt"/>
    <x v="1"/>
    <x v="0"/>
  </r>
  <r>
    <s v="SV007 "/>
    <s v=" Ngô Văn Hùng "/>
    <x v="1"/>
    <x v="5"/>
    <n v="4.5"/>
    <s v="Không đạt"/>
    <x v="0"/>
    <x v="1"/>
  </r>
  <r>
    <s v="SV019 "/>
    <s v=" Tô Văn Yên "/>
    <x v="0"/>
    <x v="2"/>
    <n v="9.4"/>
    <s v="Đạt"/>
    <x v="1"/>
    <x v="1"/>
  </r>
  <r>
    <s v="SV024 "/>
    <s v=" Tạ Thị Giang "/>
    <x v="2"/>
    <x v="3"/>
    <n v="6.6"/>
    <s v="Đạt"/>
    <x v="3"/>
    <x v="0"/>
  </r>
  <r>
    <s v="SV014 "/>
    <s v=" Dương Thị Tâm "/>
    <x v="0"/>
    <x v="5"/>
    <n v="7.4"/>
    <s v="Đạt"/>
    <x v="2"/>
    <x v="0"/>
  </r>
  <r>
    <s v="SV006 "/>
    <s v=" Vũ Thị Hà "/>
    <x v="1"/>
    <x v="7"/>
    <n v="9.3000000000000007"/>
    <s v="Đạt"/>
    <x v="1"/>
    <x v="0"/>
  </r>
  <r>
    <s v="SV006 "/>
    <s v=" Vũ Thị Hà "/>
    <x v="1"/>
    <x v="4"/>
    <n v="8.4"/>
    <s v="Đạt"/>
    <x v="2"/>
    <x v="0"/>
  </r>
  <r>
    <s v="SV029 "/>
    <s v=" Trương Văn Nam "/>
    <x v="2"/>
    <x v="7"/>
    <n v="7"/>
    <s v="Đạt"/>
    <x v="2"/>
    <x v="1"/>
  </r>
  <r>
    <s v="SV004 "/>
    <s v=" Phạm Thị Dung "/>
    <x v="1"/>
    <x v="5"/>
    <n v="9"/>
    <s v="Đạt"/>
    <x v="1"/>
    <x v="0"/>
  </r>
  <r>
    <s v="SV001 "/>
    <s v=" Nguyễn Văn An "/>
    <x v="1"/>
    <x v="7"/>
    <n v="7.2"/>
    <s v="Đạt"/>
    <x v="2"/>
    <x v="1"/>
  </r>
  <r>
    <s v="SV004 "/>
    <s v=" Phạm Thị Dung "/>
    <x v="1"/>
    <x v="0"/>
    <n v="7.1"/>
    <s v="Đạt"/>
    <x v="2"/>
    <x v="0"/>
  </r>
  <r>
    <s v="SV021 "/>
    <s v=" Kiều Văn Bảo "/>
    <x v="2"/>
    <x v="4"/>
    <n v="7.7"/>
    <s v="Đạt"/>
    <x v="2"/>
    <x v="1"/>
  </r>
  <r>
    <s v="SV014 "/>
    <s v=" Dương Thị Tâm "/>
    <x v="0"/>
    <x v="7"/>
    <n v="5.8"/>
    <s v="Đạt"/>
    <x v="3"/>
    <x v="0"/>
  </r>
  <r>
    <s v="SV001 "/>
    <s v=" Nguyễn Văn An "/>
    <x v="1"/>
    <x v="2"/>
    <n v="5.3"/>
    <s v="Đạt"/>
    <x v="3"/>
    <x v="1"/>
  </r>
  <r>
    <s v="SV007 "/>
    <s v=" Ngô Văn Hùng "/>
    <x v="1"/>
    <x v="2"/>
    <n v="4.8"/>
    <s v="Không đạt"/>
    <x v="0"/>
    <x v="1"/>
  </r>
  <r>
    <s v="SV023 "/>
    <s v=" Lâm Văn Dũng "/>
    <x v="2"/>
    <x v="6"/>
    <n v="8.6999999999999993"/>
    <s v="Đạt"/>
    <x v="1"/>
    <x v="1"/>
  </r>
  <r>
    <s v="SV002 "/>
    <s v=" Trần Thị Bình "/>
    <x v="1"/>
    <x v="2"/>
    <n v="9.4"/>
    <s v="Đạt"/>
    <x v="1"/>
    <x v="0"/>
  </r>
  <r>
    <s v="SV019 "/>
    <s v=" Tô Văn Yên "/>
    <x v="0"/>
    <x v="5"/>
    <n v="6.6"/>
    <s v="Đạt"/>
    <x v="3"/>
    <x v="1"/>
  </r>
  <r>
    <s v="SV012 "/>
    <s v=" Đinh Thị Quỳnh "/>
    <x v="0"/>
    <x v="1"/>
    <n v="5.5"/>
    <s v="Đạt"/>
    <x v="3"/>
    <x v="0"/>
  </r>
  <r>
    <s v="SV018 "/>
    <s v=" Mai Thị Xuân "/>
    <x v="0"/>
    <x v="2"/>
    <n v="8.8000000000000007"/>
    <s v="Đạt"/>
    <x v="1"/>
    <x v="0"/>
  </r>
  <r>
    <s v="SV025 "/>
    <s v=" Quách Văn Hiếu "/>
    <x v="2"/>
    <x v="6"/>
    <n v="6.9"/>
    <s v="Đạt"/>
    <x v="3"/>
    <x v="1"/>
  </r>
  <r>
    <s v="SV009 "/>
    <s v=" Bùi Văn Mạnh "/>
    <x v="1"/>
    <x v="4"/>
    <n v="5.3"/>
    <s v="Đạt"/>
    <x v="3"/>
    <x v="1"/>
  </r>
  <r>
    <s v="SV003 "/>
    <s v=" Lê Văn Cường "/>
    <x v="1"/>
    <x v="6"/>
    <n v="7.7"/>
    <s v="Đạt"/>
    <x v="2"/>
    <x v="1"/>
  </r>
  <r>
    <s v="SV022 "/>
    <s v=" Đoàn Thị Chi "/>
    <x v="2"/>
    <x v="4"/>
    <n v="9"/>
    <s v="Đạt"/>
    <x v="1"/>
    <x v="0"/>
  </r>
  <r>
    <s v="SV005 "/>
    <s v=" Hoàng Minh Đức "/>
    <x v="1"/>
    <x v="5"/>
    <n v="7.7"/>
    <s v="Đạt"/>
    <x v="2"/>
    <x v="1"/>
  </r>
  <r>
    <s v="SV018 "/>
    <s v=" Mai Thị Xuân "/>
    <x v="0"/>
    <x v="0"/>
    <n v="9"/>
    <s v="Đạt"/>
    <x v="1"/>
    <x v="0"/>
  </r>
  <r>
    <s v="SV028 "/>
    <s v=" Đỗ Thị Minh "/>
    <x v="2"/>
    <x v="0"/>
    <n v="7.3"/>
    <s v="Đạt"/>
    <x v="2"/>
    <x v="0"/>
  </r>
  <r>
    <s v="SV025 "/>
    <s v=" Quách Văn Hiếu "/>
    <x v="2"/>
    <x v="0"/>
    <n v="5.7"/>
    <s v="Đạt"/>
    <x v="3"/>
    <x v="1"/>
  </r>
  <r>
    <s v="SV029 "/>
    <s v=" Trương Văn Nam "/>
    <x v="2"/>
    <x v="2"/>
    <n v="6.3"/>
    <s v="Đạt"/>
    <x v="3"/>
    <x v="1"/>
  </r>
  <r>
    <s v="SV006 "/>
    <s v=" Vũ Thị Hà "/>
    <x v="1"/>
    <x v="2"/>
    <n v="7.4"/>
    <s v="Đạt"/>
    <x v="2"/>
    <x v="0"/>
  </r>
  <r>
    <s v="SV030 "/>
    <s v=" Huỳnh Thị Oanh "/>
    <x v="2"/>
    <x v="3"/>
    <n v="6.9"/>
    <s v="Đạt"/>
    <x v="3"/>
    <x v="0"/>
  </r>
  <r>
    <s v="SV017 "/>
    <s v=" Cao Văn Vinh "/>
    <x v="0"/>
    <x v="5"/>
    <n v="6.6"/>
    <s v="Đạt"/>
    <x v="3"/>
    <x v="1"/>
  </r>
  <r>
    <s v="SV024 "/>
    <s v=" Tạ Thị Giang "/>
    <x v="2"/>
    <x v="2"/>
    <n v="9.1"/>
    <s v="Đạt"/>
    <x v="1"/>
    <x v="0"/>
  </r>
  <r>
    <s v="SV022 "/>
    <s v=" Đoàn Thị Chi "/>
    <x v="2"/>
    <x v="6"/>
    <n v="8.1"/>
    <s v="Đạt"/>
    <x v="2"/>
    <x v="0"/>
  </r>
  <r>
    <s v="SV011 "/>
    <s v=" Trịnh Văn Phong "/>
    <x v="0"/>
    <x v="1"/>
    <n v="2.7"/>
    <s v="Không đạt"/>
    <x v="0"/>
    <x v="1"/>
  </r>
  <r>
    <s v="SV003 "/>
    <s v=" Lê Văn Cường "/>
    <x v="1"/>
    <x v="3"/>
    <n v="9.6999999999999993"/>
    <s v="Đạt"/>
    <x v="1"/>
    <x v="1"/>
  </r>
  <r>
    <s v="SV011 "/>
    <s v=" Trịnh Văn Phong "/>
    <x v="0"/>
    <x v="3"/>
    <n v="8.9"/>
    <s v="Đạt"/>
    <x v="1"/>
    <x v="1"/>
  </r>
  <r>
    <s v="SV013 "/>
    <s v=" Phan Văn Sơn "/>
    <x v="0"/>
    <x v="7"/>
    <n v="7.8"/>
    <s v="Đạt"/>
    <x v="2"/>
    <x v="1"/>
  </r>
  <r>
    <s v="SV014 "/>
    <s v=" Dương Thị Tâm "/>
    <x v="0"/>
    <x v="4"/>
    <n v="3.6"/>
    <s v="Không đạt"/>
    <x v="0"/>
    <x v="0"/>
  </r>
  <r>
    <s v="SV006 "/>
    <s v=" Vũ Thị Hà "/>
    <x v="1"/>
    <x v="6"/>
    <n v="7.2"/>
    <s v="Đạt"/>
    <x v="2"/>
    <x v="0"/>
  </r>
  <r>
    <s v="SV008 "/>
    <s v=" Đặng Thị Lan "/>
    <x v="1"/>
    <x v="1"/>
    <n v="9.8000000000000007"/>
    <s v="Đạt"/>
    <x v="1"/>
    <x v="0"/>
  </r>
  <r>
    <s v="SV024 "/>
    <s v=" Tạ Thị Giang "/>
    <x v="2"/>
    <x v="4"/>
    <n v="7.4"/>
    <s v="Đạt"/>
    <x v="2"/>
    <x v="0"/>
  </r>
  <r>
    <s v="SV010 "/>
    <s v=" Lý Thị Ngọc "/>
    <x v="1"/>
    <x v="5"/>
    <n v="7.7"/>
    <s v="Đạt"/>
    <x v="2"/>
    <x v="0"/>
  </r>
  <r>
    <s v="SV026 "/>
    <s v=" Từ Thị Khánh "/>
    <x v="2"/>
    <x v="4"/>
    <n v="7.8"/>
    <s v="Đạt"/>
    <x v="2"/>
    <x v="0"/>
  </r>
  <r>
    <s v="SV017 "/>
    <s v=" Cao Văn Vinh "/>
    <x v="0"/>
    <x v="1"/>
    <n v="7.4"/>
    <s v="Đạt"/>
    <x v="2"/>
    <x v="1"/>
  </r>
  <r>
    <s v="SV016 "/>
    <s v=" Lương Thị Uyên "/>
    <x v="0"/>
    <x v="4"/>
    <n v="6.9"/>
    <s v="Đạt"/>
    <x v="3"/>
    <x v="0"/>
  </r>
  <r>
    <s v="SV021 "/>
    <s v=" Kiều Văn Bảo "/>
    <x v="2"/>
    <x v="1"/>
    <n v="6.3"/>
    <s v="Đạt"/>
    <x v="3"/>
    <x v="1"/>
  </r>
  <r>
    <s v="SV030 "/>
    <s v=" Huỳnh Thị Oanh "/>
    <x v="2"/>
    <x v="7"/>
    <n v="4.7"/>
    <s v="Không đạt"/>
    <x v="0"/>
    <x v="0"/>
  </r>
  <r>
    <s v="SV026 "/>
    <s v=" Từ Thị Khánh "/>
    <x v="2"/>
    <x v="0"/>
    <n v="6.6"/>
    <s v="Đạt"/>
    <x v="3"/>
    <x v="0"/>
  </r>
  <r>
    <s v="SV010 "/>
    <s v=" Lý Thị Ngọc "/>
    <x v="1"/>
    <x v="3"/>
    <n v="9.4"/>
    <s v="Đạt"/>
    <x v="1"/>
    <x v="0"/>
  </r>
  <r>
    <s v="SV008 "/>
    <s v=" Đặng Thị Lan "/>
    <x v="1"/>
    <x v="4"/>
    <n v="8.1"/>
    <s v="Đạt"/>
    <x v="2"/>
    <x v="0"/>
  </r>
  <r>
    <s v="SV016 "/>
    <s v=" Lương Thị Uyên "/>
    <x v="0"/>
    <x v="7"/>
    <n v="5.6"/>
    <s v="Đạt"/>
    <x v="3"/>
    <x v="0"/>
  </r>
  <r>
    <s v="SV030 "/>
    <s v=" Huỳnh Thị Oanh "/>
    <x v="2"/>
    <x v="0"/>
    <n v="9.1"/>
    <s v="Đạt"/>
    <x v="1"/>
    <x v="0"/>
  </r>
  <r>
    <s v="SV025 "/>
    <s v=" Quách Văn Hiếu "/>
    <x v="2"/>
    <x v="7"/>
    <n v="2.8"/>
    <s v="Không đạt"/>
    <x v="0"/>
    <x v="1"/>
  </r>
  <r>
    <s v="SV013 "/>
    <s v=" Phan Văn Sơn "/>
    <x v="0"/>
    <x v="0"/>
    <n v="2.7"/>
    <s v="Không đạt"/>
    <x v="0"/>
    <x v="1"/>
  </r>
  <r>
    <s v="SV008 "/>
    <s v=" Đặng Thị Lan "/>
    <x v="1"/>
    <x v="2"/>
    <n v="6.9"/>
    <s v="Đạt"/>
    <x v="3"/>
    <x v="0"/>
  </r>
  <r>
    <s v="SV019 "/>
    <s v=" Tô Văn Yên "/>
    <x v="0"/>
    <x v="0"/>
    <n v="9.5"/>
    <s v="Đạt"/>
    <x v="1"/>
    <x v="1"/>
  </r>
  <r>
    <s v="SV018 "/>
    <s v=" Mai Thị Xuân "/>
    <x v="0"/>
    <x v="5"/>
    <n v="4.8"/>
    <s v="Không đạt"/>
    <x v="0"/>
    <x v="0"/>
  </r>
  <r>
    <s v="SV026 "/>
    <s v=" Từ Thị Khánh "/>
    <x v="2"/>
    <x v="7"/>
    <n v="8.8000000000000007"/>
    <s v="Đạt"/>
    <x v="1"/>
    <x v="0"/>
  </r>
  <r>
    <s v="SV005 "/>
    <s v=" Hoàng Minh Đức "/>
    <x v="1"/>
    <x v="4"/>
    <n v="6.7"/>
    <s v="Đạt"/>
    <x v="3"/>
    <x v="1"/>
  </r>
  <r>
    <s v="SV023 "/>
    <s v=" Lâm Văn Dũng "/>
    <x v="2"/>
    <x v="2"/>
    <n v="3.7"/>
    <s v="Không đạt"/>
    <x v="0"/>
    <x v="1"/>
  </r>
  <r>
    <s v="SV026 "/>
    <s v=" Từ Thị Khánh "/>
    <x v="2"/>
    <x v="2"/>
    <n v="9"/>
    <s v="Đạt"/>
    <x v="1"/>
    <x v="0"/>
  </r>
  <r>
    <s v="SV014 "/>
    <s v=" Dương Thị Tâm "/>
    <x v="0"/>
    <x v="0"/>
    <n v="7.5"/>
    <s v="Đạt"/>
    <x v="2"/>
    <x v="0"/>
  </r>
  <r>
    <s v="SV008 "/>
    <s v=" Đặng Thị Lan "/>
    <x v="1"/>
    <x v="5"/>
    <n v="6.9"/>
    <s v="Đạt"/>
    <x v="3"/>
    <x v="0"/>
  </r>
  <r>
    <s v="SV006 "/>
    <s v=" Vũ Thị Hà "/>
    <x v="1"/>
    <x v="0"/>
    <n v="9.8000000000000007"/>
    <s v="Đạt"/>
    <x v="1"/>
    <x v="0"/>
  </r>
  <r>
    <s v="SV019 "/>
    <s v=" Tô Văn Yên "/>
    <x v="0"/>
    <x v="1"/>
    <n v="2.1"/>
    <s v="Không đạt"/>
    <x v="0"/>
    <x v="1"/>
  </r>
  <r>
    <s v="SV007 "/>
    <s v=" Ngô Văn Hùng "/>
    <x v="1"/>
    <x v="4"/>
    <n v="8.4"/>
    <s v="Đạt"/>
    <x v="2"/>
    <x v="1"/>
  </r>
  <r>
    <s v="SV015 "/>
    <s v=" Hồ Văn Thắng "/>
    <x v="0"/>
    <x v="6"/>
    <n v="8.4"/>
    <s v="Đạt"/>
    <x v="2"/>
    <x v="1"/>
  </r>
  <r>
    <s v="SV018 "/>
    <s v=" Mai Thị Xuân "/>
    <x v="0"/>
    <x v="1"/>
    <n v="8.9"/>
    <s v="Đạt"/>
    <x v="1"/>
    <x v="0"/>
  </r>
  <r>
    <s v="SV016 "/>
    <s v=" Lương Thị Uyên "/>
    <x v="0"/>
    <x v="2"/>
    <n v="8.4"/>
    <s v="Đạt"/>
    <x v="2"/>
    <x v="0"/>
  </r>
  <r>
    <s v="SV027 "/>
    <s v=" Vương Văn Lộc "/>
    <x v="2"/>
    <x v="3"/>
    <n v="5.2"/>
    <s v="Đạt"/>
    <x v="3"/>
    <x v="1"/>
  </r>
  <r>
    <s v="SV015 "/>
    <s v=" Hồ Văn Thắng "/>
    <x v="0"/>
    <x v="1"/>
    <n v="8.3000000000000007"/>
    <s v="Đạt"/>
    <x v="2"/>
    <x v="1"/>
  </r>
  <r>
    <s v="SV009 "/>
    <s v=" Bùi Văn Mạnh "/>
    <x v="1"/>
    <x v="2"/>
    <n v="7.3"/>
    <s v="Đạt"/>
    <x v="2"/>
    <x v="1"/>
  </r>
  <r>
    <s v="SV005 "/>
    <s v=" Hoàng Minh Đức "/>
    <x v="1"/>
    <x v="3"/>
    <n v="8.9"/>
    <s v="Đạt"/>
    <x v="1"/>
    <x v="1"/>
  </r>
  <r>
    <s v="SV015 "/>
    <s v=" Hồ Văn Thắng "/>
    <x v="0"/>
    <x v="0"/>
    <n v="9.6999999999999993"/>
    <s v="Đạt"/>
    <x v="1"/>
    <x v="1"/>
  </r>
  <r>
    <s v="SV019 "/>
    <s v=" Tô Văn Yên "/>
    <x v="0"/>
    <x v="4"/>
    <n v="6.2"/>
    <s v="Đạt"/>
    <x v="3"/>
    <x v="1"/>
  </r>
  <r>
    <s v="SV010 "/>
    <s v=" Lý Thị Ngọc "/>
    <x v="1"/>
    <x v="1"/>
    <n v="6.6"/>
    <s v="Đạt"/>
    <x v="3"/>
    <x v="0"/>
  </r>
  <r>
    <s v="SV004 "/>
    <s v=" Phạm Thị Dung "/>
    <x v="1"/>
    <x v="1"/>
    <n v="9.4"/>
    <s v="Đạt"/>
    <x v="1"/>
    <x v="0"/>
  </r>
  <r>
    <s v="SV017 "/>
    <s v=" Cao Văn Vinh "/>
    <x v="0"/>
    <x v="6"/>
    <n v="8.6"/>
    <s v="Đạt"/>
    <x v="1"/>
    <x v="1"/>
  </r>
  <r>
    <s v="SV010 "/>
    <s v=" Lý Thị Ngọc "/>
    <x v="1"/>
    <x v="6"/>
    <n v="7.7"/>
    <s v="Đạt"/>
    <x v="2"/>
    <x v="0"/>
  </r>
  <r>
    <s v="SV019 "/>
    <s v=" Tô Văn Yên "/>
    <x v="0"/>
    <x v="6"/>
    <n v="2.2000000000000002"/>
    <s v="Không đạt"/>
    <x v="0"/>
    <x v="1"/>
  </r>
  <r>
    <s v="SV004 "/>
    <s v=" Phạm Thị Dung "/>
    <x v="1"/>
    <x v="6"/>
    <n v="7"/>
    <s v="Đạt"/>
    <x v="2"/>
    <x v="0"/>
  </r>
  <r>
    <s v="SV004 "/>
    <s v=" Phạm Thị Dung "/>
    <x v="1"/>
    <x v="2"/>
    <n v="7.9"/>
    <s v="Đạt"/>
    <x v="2"/>
    <x v="0"/>
  </r>
  <r>
    <s v="SV025 "/>
    <s v=" Quách Văn Hiếu "/>
    <x v="2"/>
    <x v="5"/>
    <n v="6.9"/>
    <s v="Đạt"/>
    <x v="3"/>
    <x v="1"/>
  </r>
  <r>
    <s v="SV023 "/>
    <s v=" Lâm Văn Dũng "/>
    <x v="2"/>
    <x v="4"/>
    <n v="9.5"/>
    <s v="Đạt"/>
    <x v="1"/>
    <x v="1"/>
  </r>
  <r>
    <s v="SV025 "/>
    <s v=" Quách Văn Hiếu "/>
    <x v="2"/>
    <x v="2"/>
    <n v="9.8000000000000007"/>
    <s v="Đạt"/>
    <x v="1"/>
    <x v="1"/>
  </r>
  <r>
    <s v="SV017 "/>
    <s v=" Cao Văn Vinh "/>
    <x v="0"/>
    <x v="3"/>
    <n v="5.9"/>
    <s v="Đạt"/>
    <x v="3"/>
    <x v="1"/>
  </r>
  <r>
    <s v="SV010 "/>
    <s v=" Lý Thị Ngọc "/>
    <x v="1"/>
    <x v="0"/>
    <n v="9.1999999999999993"/>
    <s v="Đạt"/>
    <x v="1"/>
    <x v="0"/>
  </r>
  <r>
    <s v="SV004 "/>
    <s v=" Phạm Thị Dung "/>
    <x v="1"/>
    <x v="7"/>
    <n v="6.8"/>
    <s v="Đạt"/>
    <x v="3"/>
    <x v="0"/>
  </r>
  <r>
    <s v="SV003 "/>
    <s v=" Lê Văn Cường "/>
    <x v="1"/>
    <x v="7"/>
    <n v="6.9"/>
    <s v="Đạt"/>
    <x v="3"/>
    <x v="1"/>
  </r>
  <r>
    <s v="SV002 "/>
    <s v=" Trần Thị Bình "/>
    <x v="1"/>
    <x v="3"/>
    <n v="5.8"/>
    <s v="Đạt"/>
    <x v="3"/>
    <x v="0"/>
  </r>
  <r>
    <s v="SV026 "/>
    <s v=" Từ Thị Khánh "/>
    <x v="2"/>
    <x v="1"/>
    <n v="5.0999999999999996"/>
    <s v="Đạt"/>
    <x v="3"/>
    <x v="0"/>
  </r>
  <r>
    <s v="SV011 "/>
    <s v=" Trịnh Văn Phong "/>
    <x v="0"/>
    <x v="2"/>
    <n v="7.1"/>
    <s v="Đạt"/>
    <x v="2"/>
    <x v="1"/>
  </r>
  <r>
    <s v="SV008 "/>
    <s v=" Đặng Thị Lan "/>
    <x v="1"/>
    <x v="7"/>
    <n v="6.7"/>
    <s v="Đạt"/>
    <x v="3"/>
    <x v="0"/>
  </r>
  <r>
    <s v="SV015 "/>
    <s v=" Hồ Văn Thắng "/>
    <x v="0"/>
    <x v="2"/>
    <n v="7.7"/>
    <s v="Đạt"/>
    <x v="2"/>
    <x v="1"/>
  </r>
  <r>
    <s v="SV003 "/>
    <s v=" Lê Văn Cường "/>
    <x v="1"/>
    <x v="5"/>
    <n v="7.6"/>
    <s v="Đạt"/>
    <x v="2"/>
    <x v="1"/>
  </r>
  <r>
    <s v="SV007 "/>
    <s v=" Ngô Văn Hùng "/>
    <x v="1"/>
    <x v="7"/>
    <n v="5.0999999999999996"/>
    <s v="Đạt"/>
    <x v="3"/>
    <x v="1"/>
  </r>
  <r>
    <s v="SV005 "/>
    <s v=" Hoàng Minh Đức "/>
    <x v="1"/>
    <x v="7"/>
    <n v="9.1999999999999993"/>
    <s v="Đạt"/>
    <x v="1"/>
    <x v="1"/>
  </r>
  <r>
    <s v="SV023 "/>
    <s v=" Lâm Văn Dũng "/>
    <x v="2"/>
    <x v="3"/>
    <n v="6.9"/>
    <s v="Đạt"/>
    <x v="3"/>
    <x v="1"/>
  </r>
  <r>
    <s v="SV009 "/>
    <s v=" Bùi Văn Mạnh "/>
    <x v="1"/>
    <x v="3"/>
    <n v="6.9"/>
    <s v="Đạt"/>
    <x v="3"/>
    <x v="1"/>
  </r>
  <r>
    <s v="SV022 "/>
    <s v=" Đoàn Thị Chi "/>
    <x v="2"/>
    <x v="1"/>
    <n v="9.5"/>
    <s v="Đạt"/>
    <x v="1"/>
    <x v="0"/>
  </r>
  <r>
    <s v="SV002 "/>
    <s v=" Trần Thị Bình "/>
    <x v="1"/>
    <x v="0"/>
    <n v="8.3000000000000007"/>
    <s v="Đạt"/>
    <x v="2"/>
    <x v="0"/>
  </r>
  <r>
    <s v="SV012 "/>
    <s v=" Đinh Thị Quỳnh "/>
    <x v="0"/>
    <x v="2"/>
    <n v="6.9"/>
    <s v="Đạt"/>
    <x v="3"/>
    <x v="0"/>
  </r>
  <r>
    <s v="SV015 "/>
    <s v=" Hồ Văn Thắng "/>
    <x v="0"/>
    <x v="5"/>
    <n v="7.3"/>
    <s v="Đạt"/>
    <x v="2"/>
    <x v="1"/>
  </r>
  <r>
    <s v="SV017 "/>
    <s v=" Cao Văn Vinh "/>
    <x v="0"/>
    <x v="0"/>
    <n v="5.7"/>
    <s v="Đạt"/>
    <x v="3"/>
    <x v="1"/>
  </r>
  <r>
    <s v="SV030 "/>
    <s v=" Huỳnh Thị Oanh "/>
    <x v="2"/>
    <x v="5"/>
    <n v="5.4"/>
    <s v="Đạt"/>
    <x v="3"/>
    <x v="0"/>
  </r>
  <r>
    <s v="SV028 "/>
    <s v=" Đỗ Thị Minh "/>
    <x v="2"/>
    <x v="2"/>
    <n v="6.8"/>
    <s v="Đạt"/>
    <x v="3"/>
    <x v="0"/>
  </r>
  <r>
    <s v="SV027 "/>
    <s v=" Vương Văn Lộc "/>
    <x v="2"/>
    <x v="4"/>
    <n v="3.2"/>
    <s v="Không đạt"/>
    <x v="0"/>
    <x v="1"/>
  </r>
  <r>
    <s v="SV023 "/>
    <s v=" Lâm Văn Dũng "/>
    <x v="2"/>
    <x v="7"/>
    <n v="8.6999999999999993"/>
    <s v="Đạt"/>
    <x v="1"/>
    <x v="1"/>
  </r>
  <r>
    <s v="SV002 "/>
    <s v=" Trần Thị Bình "/>
    <x v="1"/>
    <x v="7"/>
    <n v="4.5"/>
    <s v="Không đạt"/>
    <x v="0"/>
    <x v="0"/>
  </r>
  <r>
    <s v="SV016 "/>
    <s v=" Lương Thị Uyên "/>
    <x v="0"/>
    <x v="0"/>
    <n v="6.6"/>
    <s v="Đạt"/>
    <x v="3"/>
    <x v="0"/>
  </r>
  <r>
    <s v="SV012 "/>
    <s v=" Đinh Thị Quỳnh "/>
    <x v="0"/>
    <x v="4"/>
    <n v="6.9"/>
    <s v="Đạt"/>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189B8-6FFC-4C26-8EB5-7CE4E5FBC87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1" firstDataRow="2" firstDataCol="1" rowPageCount="1" colPageCount="1"/>
  <pivotFields count="8">
    <pivotField showAll="0"/>
    <pivotField showAll="0"/>
    <pivotField axis="axisRow" showAll="0">
      <items count="4">
        <item x="1"/>
        <item x="0"/>
        <item x="2"/>
        <item t="default"/>
      </items>
    </pivotField>
    <pivotField axis="axisCol" showAll="0">
      <items count="9">
        <item x="5"/>
        <item x="1"/>
        <item x="3"/>
        <item x="6"/>
        <item x="0"/>
        <item x="4"/>
        <item x="7"/>
        <item x="2"/>
        <item t="default"/>
      </items>
    </pivotField>
    <pivotField dataField="1" numFmtId="166" showAll="0"/>
    <pivotField showAll="0"/>
    <pivotField showAll="0">
      <items count="5">
        <item h="1" x="1"/>
        <item h="1" x="2"/>
        <item h="1" x="3"/>
        <item x="0"/>
        <item t="default"/>
      </items>
    </pivotField>
    <pivotField axis="axisPage" showAll="0">
      <items count="3">
        <item x="1"/>
        <item x="0"/>
        <item t="default"/>
      </items>
    </pivotField>
  </pivotFields>
  <rowFields count="1">
    <field x="2"/>
  </rowFields>
  <rowItems count="4">
    <i>
      <x/>
    </i>
    <i>
      <x v="1"/>
    </i>
    <i>
      <x v="2"/>
    </i>
    <i t="grand">
      <x/>
    </i>
  </rowItems>
  <colFields count="1">
    <field x="3"/>
  </colFields>
  <colItems count="7">
    <i>
      <x/>
    </i>
    <i>
      <x v="1"/>
    </i>
    <i>
      <x v="3"/>
    </i>
    <i>
      <x v="4"/>
    </i>
    <i>
      <x v="5"/>
    </i>
    <i>
      <x v="6"/>
    </i>
    <i t="grand">
      <x/>
    </i>
  </colItems>
  <pageFields count="1">
    <pageField fld="7" item="1" hier="-1"/>
  </pageFields>
  <dataFields count="1">
    <dataField name="Average of Score" fld="4" subtotal="average" baseField="2"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Xep_Loai" xr10:uid="{031D6C3D-1ED7-40FC-A0E2-562A27D2513E}" sourceName="Xep_Loai">
  <pivotTables>
    <pivotTable tabId="2" name="PivotTable1"/>
  </pivotTables>
  <data>
    <tabular pivotCacheId="848335798">
      <items count="4">
        <i x="1"/>
        <i x="2"/>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Xep_Loai" xr10:uid="{11CF113E-08B4-4261-9741-5D0B6343529A}" cache="Slicer_Xep_Loai" caption="Xep_Loai"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B18E6-40C9-416C-BD50-0667EF60C866}" name="Table1" displayName="Table1" ref="A1:H241" totalsRowShown="0" headerRowDxfId="4">
  <autoFilter ref="A1:H241" xr:uid="{1E8B18E6-40C9-416C-BD50-0667EF60C866}"/>
  <tableColumns count="8">
    <tableColumn id="1" xr3:uid="{8744FD1C-E9BC-40CA-9122-7C38E00D9B67}" name="Ma_SV"/>
    <tableColumn id="5" xr3:uid="{DC13D22F-50A5-48A0-A5C5-F44B5021AB95}" name="Ho_Ten"/>
    <tableColumn id="6" xr3:uid="{CDCEFECC-1586-4209-974A-0FD990454E80}" name="Lop"/>
    <tableColumn id="2" xr3:uid="{4F19D175-81F2-4575-87BA-BC3E7D8F8221}" name="Mon_Hoc"/>
    <tableColumn id="3" xr3:uid="{BBBC61F8-C753-4C51-8ACD-A1E3EF44DBF4}" name="Score" dataDxfId="1"/>
    <tableColumn id="7" xr3:uid="{CD84B8CC-B3AD-415B-A4A0-2915D166640E}" name="Ket_Qua" dataDxfId="2">
      <calculatedColumnFormula>IF(E2 &gt;=5, "Đạt", "Không đạt")</calculatedColumnFormula>
    </tableColumn>
    <tableColumn id="8" xr3:uid="{A8EB1132-07A9-4C54-ACFF-0C71B6ABC422}" name="Xep_Loai" dataDxfId="0">
      <calculatedColumnFormula>IF(E2&gt;=8.5,"Giỏi",IF(E2&gt;=7,"Khá",IF(E2&gt;=5,"Trung bình","Yếu")))</calculatedColumnFormula>
    </tableColumn>
    <tableColumn id="4" xr3:uid="{A394EB95-04A3-4095-8751-D35EC375D528}" name="Gend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4519-3BFF-4255-888C-0172F6C6D07E}">
  <dimension ref="A1:H11"/>
  <sheetViews>
    <sheetView workbookViewId="0">
      <selection activeCell="D5" sqref="D5"/>
    </sheetView>
  </sheetViews>
  <sheetFormatPr defaultRowHeight="14.4" x14ac:dyDescent="0.3"/>
  <cols>
    <col min="1" max="1" width="15.33203125" bestFit="1" customWidth="1"/>
    <col min="2" max="2" width="15.88671875" bestFit="1" customWidth="1"/>
    <col min="3" max="3" width="14.44140625" bestFit="1" customWidth="1"/>
    <col min="4" max="4" width="12.109375" bestFit="1" customWidth="1"/>
    <col min="5" max="5" width="15.109375" bestFit="1" customWidth="1"/>
    <col min="6" max="6" width="13.88671875" bestFit="1" customWidth="1"/>
    <col min="7" max="7" width="15.33203125" bestFit="1" customWidth="1"/>
    <col min="8" max="8" width="10.77734375" bestFit="1" customWidth="1"/>
    <col min="9" max="9" width="14.44140625" bestFit="1" customWidth="1"/>
    <col min="10" max="10" width="10.77734375" bestFit="1" customWidth="1"/>
  </cols>
  <sheetData>
    <row r="1" spans="1:8" x14ac:dyDescent="0.3">
      <c r="A1" s="3" t="s">
        <v>2</v>
      </c>
      <c r="B1" t="s">
        <v>4</v>
      </c>
    </row>
    <row r="3" spans="1:8" x14ac:dyDescent="0.3">
      <c r="A3" s="3" t="s">
        <v>84</v>
      </c>
      <c r="B3" s="3" t="s">
        <v>83</v>
      </c>
    </row>
    <row r="4" spans="1:8" x14ac:dyDescent="0.3">
      <c r="A4" s="3" t="s">
        <v>81</v>
      </c>
      <c r="B4" t="s">
        <v>10</v>
      </c>
      <c r="C4" t="s">
        <v>5</v>
      </c>
      <c r="D4" t="s">
        <v>11</v>
      </c>
      <c r="E4" t="s">
        <v>3</v>
      </c>
      <c r="F4" t="s">
        <v>9</v>
      </c>
      <c r="G4" t="s">
        <v>12</v>
      </c>
      <c r="H4" t="s">
        <v>82</v>
      </c>
    </row>
    <row r="5" spans="1:8" x14ac:dyDescent="0.3">
      <c r="A5" s="4" t="s">
        <v>44</v>
      </c>
      <c r="B5" s="2">
        <v>3.4</v>
      </c>
      <c r="C5" s="2"/>
      <c r="D5" s="2"/>
      <c r="E5" s="2"/>
      <c r="F5" s="2"/>
      <c r="G5" s="2">
        <v>4.5</v>
      </c>
      <c r="H5" s="2">
        <v>3.95</v>
      </c>
    </row>
    <row r="6" spans="1:8" x14ac:dyDescent="0.3">
      <c r="A6" s="4" t="s">
        <v>43</v>
      </c>
      <c r="B6" s="2">
        <v>4.8</v>
      </c>
      <c r="C6" s="2">
        <v>4.4000000000000004</v>
      </c>
      <c r="D6" s="2">
        <v>2.5</v>
      </c>
      <c r="E6" s="2">
        <v>3.9</v>
      </c>
      <c r="F6" s="2">
        <v>3.6</v>
      </c>
      <c r="G6" s="2">
        <v>4.8</v>
      </c>
      <c r="H6" s="2">
        <v>3.7857142857142856</v>
      </c>
    </row>
    <row r="7" spans="1:8" x14ac:dyDescent="0.3">
      <c r="A7" s="4" t="s">
        <v>45</v>
      </c>
      <c r="B7" s="2">
        <v>3.7</v>
      </c>
      <c r="C7" s="2"/>
      <c r="D7" s="2">
        <v>4.4000000000000004</v>
      </c>
      <c r="E7" s="2"/>
      <c r="F7" s="2"/>
      <c r="G7" s="2">
        <v>4.7</v>
      </c>
      <c r="H7" s="2">
        <v>4.2666666666666666</v>
      </c>
    </row>
    <row r="8" spans="1:8" x14ac:dyDescent="0.3">
      <c r="A8" s="4" t="s">
        <v>82</v>
      </c>
      <c r="B8" s="2">
        <v>3.9666666666666663</v>
      </c>
      <c r="C8" s="2">
        <v>4.4000000000000004</v>
      </c>
      <c r="D8" s="2">
        <v>3.1333333333333333</v>
      </c>
      <c r="E8" s="2">
        <v>3.9</v>
      </c>
      <c r="F8" s="2">
        <v>3.6</v>
      </c>
      <c r="G8" s="2">
        <v>4.666666666666667</v>
      </c>
      <c r="H8" s="2">
        <v>3.9333333333333336</v>
      </c>
    </row>
    <row r="11" spans="1:8" x14ac:dyDescent="0.3">
      <c r="A11" s="5" t="s">
        <v>85</v>
      </c>
      <c r="B11" s="5"/>
    </row>
  </sheetData>
  <mergeCells count="1">
    <mergeCell ref="A11:B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CA95-62A2-45D4-B371-0A83773AA0D1}">
  <dimension ref="A1:L241"/>
  <sheetViews>
    <sheetView tabSelected="1" topLeftCell="C1" workbookViewId="0">
      <selection activeCell="J1" sqref="J1:L2"/>
    </sheetView>
  </sheetViews>
  <sheetFormatPr defaultRowHeight="14.4" x14ac:dyDescent="0.3"/>
  <cols>
    <col min="1" max="1" width="11.44140625" bestFit="1" customWidth="1"/>
    <col min="2" max="2" width="15.77734375" bestFit="1" customWidth="1"/>
    <col min="3" max="3" width="8.5546875" bestFit="1" customWidth="1"/>
    <col min="4" max="4" width="28.33203125" customWidth="1"/>
    <col min="5" max="5" width="10.109375" bestFit="1" customWidth="1"/>
    <col min="6" max="6" width="12.6640625" bestFit="1" customWidth="1"/>
    <col min="7" max="7" width="13.109375" bestFit="1" customWidth="1"/>
    <col min="8" max="8" width="11.5546875" bestFit="1" customWidth="1"/>
    <col min="10" max="10" width="24" bestFit="1" customWidth="1"/>
    <col min="11" max="11" width="19.21875" bestFit="1" customWidth="1"/>
    <col min="12" max="12" width="15.5546875" bestFit="1" customWidth="1"/>
  </cols>
  <sheetData>
    <row r="1" spans="1:12" x14ac:dyDescent="0.3">
      <c r="A1" s="1" t="s">
        <v>76</v>
      </c>
      <c r="B1" s="1" t="s">
        <v>77</v>
      </c>
      <c r="C1" s="1" t="s">
        <v>78</v>
      </c>
      <c r="D1" s="1" t="s">
        <v>0</v>
      </c>
      <c r="E1" s="1" t="s">
        <v>1</v>
      </c>
      <c r="F1" s="1" t="s">
        <v>79</v>
      </c>
      <c r="G1" s="1" t="s">
        <v>80</v>
      </c>
      <c r="H1" s="1" t="s">
        <v>2</v>
      </c>
      <c r="J1" s="6" t="s">
        <v>86</v>
      </c>
      <c r="K1" s="6" t="s">
        <v>87</v>
      </c>
      <c r="L1" s="6" t="s">
        <v>88</v>
      </c>
    </row>
    <row r="2" spans="1:12" x14ac:dyDescent="0.3">
      <c r="A2" t="s">
        <v>46</v>
      </c>
      <c r="B2" t="s">
        <v>13</v>
      </c>
      <c r="C2" t="s">
        <v>43</v>
      </c>
      <c r="D2" t="s">
        <v>3</v>
      </c>
      <c r="E2" s="2">
        <v>3.9</v>
      </c>
      <c r="F2" t="str">
        <f>IF(E2 &gt;=5, "Đạt", "Không đạt")</f>
        <v>Không đạt</v>
      </c>
      <c r="G2" t="str">
        <f t="shared" ref="G2:G65" si="0">IF(E2&gt;=8.5,"Giỏi",IF(E2&gt;=7,"Khá",IF(E2&gt;=5,"Trung bình","Yếu")))</f>
        <v>Yếu</v>
      </c>
      <c r="H2" t="s">
        <v>4</v>
      </c>
      <c r="J2" s="6">
        <f>AVERAGEIF(Table1[Lop],"CNTT01",Table1[Score])</f>
        <v>7.3362499999999979</v>
      </c>
      <c r="K2" s="6">
        <f>COUNTIF(Table1[Ket_Qua],"Không đạt")</f>
        <v>31</v>
      </c>
      <c r="L2" s="7">
        <f>COUNTIF(Table1[Ket_Qua],"Đạt")/COUNTA(Table1[Ma_SV])</f>
        <v>0.87083333333333335</v>
      </c>
    </row>
    <row r="3" spans="1:12" x14ac:dyDescent="0.3">
      <c r="A3" t="s">
        <v>47</v>
      </c>
      <c r="B3" t="s">
        <v>14</v>
      </c>
      <c r="C3" t="s">
        <v>44</v>
      </c>
      <c r="D3" t="s">
        <v>5</v>
      </c>
      <c r="E3" s="2">
        <v>8.6</v>
      </c>
      <c r="F3" t="str">
        <f t="shared" ref="F3:F65" si="1">IF(E3 &gt;=5, "Đạt", "Không đạt")</f>
        <v>Đạt</v>
      </c>
      <c r="G3" t="str">
        <f t="shared" si="0"/>
        <v>Giỏi</v>
      </c>
      <c r="H3" t="s">
        <v>7</v>
      </c>
    </row>
    <row r="4" spans="1:12" x14ac:dyDescent="0.3">
      <c r="A4" t="s">
        <v>48</v>
      </c>
      <c r="B4" t="s">
        <v>15</v>
      </c>
      <c r="C4" t="s">
        <v>44</v>
      </c>
      <c r="D4" t="s">
        <v>6</v>
      </c>
      <c r="E4" s="2">
        <v>7</v>
      </c>
      <c r="F4" t="str">
        <f t="shared" si="1"/>
        <v>Đạt</v>
      </c>
      <c r="G4" t="str">
        <f t="shared" si="0"/>
        <v>Khá</v>
      </c>
      <c r="H4" t="s">
        <v>7</v>
      </c>
    </row>
    <row r="5" spans="1:12" x14ac:dyDescent="0.3">
      <c r="A5" t="s">
        <v>49</v>
      </c>
      <c r="B5" t="s">
        <v>16</v>
      </c>
      <c r="C5" t="s">
        <v>43</v>
      </c>
      <c r="D5" t="s">
        <v>5</v>
      </c>
      <c r="E5" s="2">
        <v>7.6</v>
      </c>
      <c r="F5" t="str">
        <f t="shared" si="1"/>
        <v>Đạt</v>
      </c>
      <c r="G5" t="str">
        <f t="shared" si="0"/>
        <v>Khá</v>
      </c>
      <c r="H5" t="s">
        <v>7</v>
      </c>
    </row>
    <row r="6" spans="1:12" x14ac:dyDescent="0.3">
      <c r="A6" t="s">
        <v>50</v>
      </c>
      <c r="B6" t="s">
        <v>17</v>
      </c>
      <c r="C6" t="s">
        <v>45</v>
      </c>
      <c r="D6" t="s">
        <v>3</v>
      </c>
      <c r="E6" s="2">
        <v>8.3000000000000007</v>
      </c>
      <c r="F6" t="str">
        <f t="shared" si="1"/>
        <v>Đạt</v>
      </c>
      <c r="G6" t="str">
        <f t="shared" si="0"/>
        <v>Khá</v>
      </c>
      <c r="H6" t="s">
        <v>4</v>
      </c>
    </row>
    <row r="7" spans="1:12" x14ac:dyDescent="0.3">
      <c r="A7" t="s">
        <v>51</v>
      </c>
      <c r="B7" t="s">
        <v>18</v>
      </c>
      <c r="C7" t="s">
        <v>44</v>
      </c>
      <c r="D7" t="s">
        <v>8</v>
      </c>
      <c r="E7" s="2">
        <v>7.9</v>
      </c>
      <c r="F7" t="str">
        <f t="shared" si="1"/>
        <v>Đạt</v>
      </c>
      <c r="G7" t="str">
        <f t="shared" si="0"/>
        <v>Khá</v>
      </c>
      <c r="H7" t="s">
        <v>7</v>
      </c>
    </row>
    <row r="8" spans="1:12" x14ac:dyDescent="0.3">
      <c r="A8" t="s">
        <v>52</v>
      </c>
      <c r="B8" t="s">
        <v>19</v>
      </c>
      <c r="C8" t="s">
        <v>44</v>
      </c>
      <c r="D8" t="s">
        <v>5</v>
      </c>
      <c r="E8" s="2">
        <v>6.6</v>
      </c>
      <c r="F8" t="str">
        <f t="shared" si="1"/>
        <v>Đạt</v>
      </c>
      <c r="G8" t="str">
        <f t="shared" si="0"/>
        <v>Trung bình</v>
      </c>
      <c r="H8" t="s">
        <v>4</v>
      </c>
    </row>
    <row r="9" spans="1:12" x14ac:dyDescent="0.3">
      <c r="A9" t="s">
        <v>51</v>
      </c>
      <c r="B9" t="s">
        <v>18</v>
      </c>
      <c r="C9" t="s">
        <v>44</v>
      </c>
      <c r="D9" t="s">
        <v>5</v>
      </c>
      <c r="E9" s="2">
        <v>5.0999999999999996</v>
      </c>
      <c r="F9" t="str">
        <f t="shared" si="1"/>
        <v>Đạt</v>
      </c>
      <c r="G9" t="str">
        <f t="shared" si="0"/>
        <v>Trung bình</v>
      </c>
      <c r="H9" t="s">
        <v>7</v>
      </c>
    </row>
    <row r="10" spans="1:12" x14ac:dyDescent="0.3">
      <c r="A10" t="s">
        <v>51</v>
      </c>
      <c r="B10" t="s">
        <v>18</v>
      </c>
      <c r="C10" t="s">
        <v>44</v>
      </c>
      <c r="D10" t="s">
        <v>9</v>
      </c>
      <c r="E10" s="2">
        <v>9.1999999999999993</v>
      </c>
      <c r="F10" t="str">
        <f t="shared" si="1"/>
        <v>Đạt</v>
      </c>
      <c r="G10" t="str">
        <f t="shared" si="0"/>
        <v>Giỏi</v>
      </c>
      <c r="H10" t="s">
        <v>7</v>
      </c>
    </row>
    <row r="11" spans="1:12" x14ac:dyDescent="0.3">
      <c r="A11" t="s">
        <v>53</v>
      </c>
      <c r="B11" t="s">
        <v>20</v>
      </c>
      <c r="C11" t="s">
        <v>43</v>
      </c>
      <c r="D11" t="s">
        <v>5</v>
      </c>
      <c r="E11" s="2">
        <v>9.1999999999999993</v>
      </c>
      <c r="F11" t="str">
        <f t="shared" si="1"/>
        <v>Đạt</v>
      </c>
      <c r="G11" t="str">
        <f t="shared" si="0"/>
        <v>Giỏi</v>
      </c>
      <c r="H11" t="s">
        <v>4</v>
      </c>
    </row>
    <row r="12" spans="1:12" x14ac:dyDescent="0.3">
      <c r="A12" t="s">
        <v>54</v>
      </c>
      <c r="B12" t="s">
        <v>21</v>
      </c>
      <c r="C12" t="s">
        <v>43</v>
      </c>
      <c r="D12" t="s">
        <v>5</v>
      </c>
      <c r="E12" s="2">
        <v>4.4000000000000004</v>
      </c>
      <c r="F12" t="str">
        <f t="shared" si="1"/>
        <v>Không đạt</v>
      </c>
      <c r="G12" t="str">
        <f t="shared" si="0"/>
        <v>Yếu</v>
      </c>
      <c r="H12" t="s">
        <v>4</v>
      </c>
    </row>
    <row r="13" spans="1:12" x14ac:dyDescent="0.3">
      <c r="A13" t="s">
        <v>52</v>
      </c>
      <c r="B13" t="s">
        <v>19</v>
      </c>
      <c r="C13" t="s">
        <v>44</v>
      </c>
      <c r="D13" t="s">
        <v>10</v>
      </c>
      <c r="E13" s="2">
        <v>9.6999999999999993</v>
      </c>
      <c r="F13" t="str">
        <f t="shared" si="1"/>
        <v>Đạt</v>
      </c>
      <c r="G13" t="str">
        <f t="shared" si="0"/>
        <v>Giỏi</v>
      </c>
      <c r="H13" t="s">
        <v>4</v>
      </c>
    </row>
    <row r="14" spans="1:12" x14ac:dyDescent="0.3">
      <c r="A14" t="s">
        <v>55</v>
      </c>
      <c r="B14" t="s">
        <v>22</v>
      </c>
      <c r="C14" t="s">
        <v>44</v>
      </c>
      <c r="D14" t="s">
        <v>11</v>
      </c>
      <c r="E14" s="2">
        <v>6</v>
      </c>
      <c r="F14" t="str">
        <f t="shared" si="1"/>
        <v>Đạt</v>
      </c>
      <c r="G14" t="str">
        <f t="shared" si="0"/>
        <v>Trung bình</v>
      </c>
      <c r="H14" t="s">
        <v>4</v>
      </c>
    </row>
    <row r="15" spans="1:12" x14ac:dyDescent="0.3">
      <c r="A15" t="s">
        <v>56</v>
      </c>
      <c r="B15" t="s">
        <v>23</v>
      </c>
      <c r="C15" t="s">
        <v>44</v>
      </c>
      <c r="D15" t="s">
        <v>5</v>
      </c>
      <c r="E15" s="2">
        <v>6.4</v>
      </c>
      <c r="F15" t="str">
        <f t="shared" si="1"/>
        <v>Đạt</v>
      </c>
      <c r="G15" t="str">
        <f t="shared" si="0"/>
        <v>Trung bình</v>
      </c>
      <c r="H15" t="s">
        <v>7</v>
      </c>
    </row>
    <row r="16" spans="1:12" x14ac:dyDescent="0.3">
      <c r="A16" t="s">
        <v>57</v>
      </c>
      <c r="B16" t="s">
        <v>24</v>
      </c>
      <c r="C16" t="s">
        <v>43</v>
      </c>
      <c r="D16" t="s">
        <v>8</v>
      </c>
      <c r="E16" s="2">
        <v>3.4</v>
      </c>
      <c r="F16" t="str">
        <f t="shared" si="1"/>
        <v>Không đạt</v>
      </c>
      <c r="G16" t="str">
        <f t="shared" si="0"/>
        <v>Yếu</v>
      </c>
      <c r="H16" t="s">
        <v>7</v>
      </c>
    </row>
    <row r="17" spans="1:8" x14ac:dyDescent="0.3">
      <c r="A17" t="s">
        <v>58</v>
      </c>
      <c r="B17" t="s">
        <v>25</v>
      </c>
      <c r="C17" t="s">
        <v>45</v>
      </c>
      <c r="D17" t="s">
        <v>3</v>
      </c>
      <c r="E17" s="2">
        <v>7.6</v>
      </c>
      <c r="F17" t="str">
        <f t="shared" si="1"/>
        <v>Đạt</v>
      </c>
      <c r="G17" t="str">
        <f t="shared" si="0"/>
        <v>Khá</v>
      </c>
      <c r="H17" t="s">
        <v>7</v>
      </c>
    </row>
    <row r="18" spans="1:8" x14ac:dyDescent="0.3">
      <c r="A18" t="s">
        <v>46</v>
      </c>
      <c r="B18" t="s">
        <v>13</v>
      </c>
      <c r="C18" t="s">
        <v>43</v>
      </c>
      <c r="D18" t="s">
        <v>10</v>
      </c>
      <c r="E18" s="2">
        <v>6.5</v>
      </c>
      <c r="F18" t="str">
        <f t="shared" si="1"/>
        <v>Đạt</v>
      </c>
      <c r="G18" t="str">
        <f t="shared" si="0"/>
        <v>Trung bình</v>
      </c>
      <c r="H18" t="s">
        <v>4</v>
      </c>
    </row>
    <row r="19" spans="1:8" x14ac:dyDescent="0.3">
      <c r="A19" t="s">
        <v>59</v>
      </c>
      <c r="B19" t="s">
        <v>26</v>
      </c>
      <c r="C19" t="s">
        <v>43</v>
      </c>
      <c r="D19" t="s">
        <v>9</v>
      </c>
      <c r="E19" s="2">
        <v>7.1</v>
      </c>
      <c r="F19" t="str">
        <f t="shared" si="1"/>
        <v>Đạt</v>
      </c>
      <c r="G19" t="str">
        <f t="shared" si="0"/>
        <v>Khá</v>
      </c>
      <c r="H19" t="s">
        <v>7</v>
      </c>
    </row>
    <row r="20" spans="1:8" x14ac:dyDescent="0.3">
      <c r="A20" t="s">
        <v>60</v>
      </c>
      <c r="B20" t="s">
        <v>27</v>
      </c>
      <c r="C20" t="s">
        <v>44</v>
      </c>
      <c r="D20" t="s">
        <v>3</v>
      </c>
      <c r="E20" s="2">
        <v>6.1</v>
      </c>
      <c r="F20" t="str">
        <f t="shared" si="1"/>
        <v>Đạt</v>
      </c>
      <c r="G20" t="str">
        <f t="shared" si="0"/>
        <v>Trung bình</v>
      </c>
      <c r="H20" t="s">
        <v>7</v>
      </c>
    </row>
    <row r="21" spans="1:8" x14ac:dyDescent="0.3">
      <c r="A21" t="s">
        <v>51</v>
      </c>
      <c r="B21" t="s">
        <v>18</v>
      </c>
      <c r="C21" t="s">
        <v>44</v>
      </c>
      <c r="D21" t="s">
        <v>10</v>
      </c>
      <c r="E21" s="2">
        <v>3.4</v>
      </c>
      <c r="F21" t="str">
        <f t="shared" si="1"/>
        <v>Không đạt</v>
      </c>
      <c r="G21" t="str">
        <f t="shared" si="0"/>
        <v>Yếu</v>
      </c>
      <c r="H21" t="s">
        <v>7</v>
      </c>
    </row>
    <row r="22" spans="1:8" x14ac:dyDescent="0.3">
      <c r="A22" t="s">
        <v>56</v>
      </c>
      <c r="B22" t="s">
        <v>23</v>
      </c>
      <c r="C22" t="s">
        <v>44</v>
      </c>
      <c r="D22" t="s">
        <v>12</v>
      </c>
      <c r="E22" s="2">
        <v>8.1</v>
      </c>
      <c r="F22" t="str">
        <f t="shared" si="1"/>
        <v>Đạt</v>
      </c>
      <c r="G22" t="str">
        <f t="shared" si="0"/>
        <v>Khá</v>
      </c>
      <c r="H22" t="s">
        <v>7</v>
      </c>
    </row>
    <row r="23" spans="1:8" x14ac:dyDescent="0.3">
      <c r="A23" t="s">
        <v>61</v>
      </c>
      <c r="B23" t="s">
        <v>28</v>
      </c>
      <c r="C23" t="s">
        <v>44</v>
      </c>
      <c r="D23" t="s">
        <v>6</v>
      </c>
      <c r="E23" s="2">
        <v>8.9</v>
      </c>
      <c r="F23" t="str">
        <f t="shared" si="1"/>
        <v>Đạt</v>
      </c>
      <c r="G23" t="str">
        <f t="shared" si="0"/>
        <v>Giỏi</v>
      </c>
      <c r="H23" t="s">
        <v>4</v>
      </c>
    </row>
    <row r="24" spans="1:8" x14ac:dyDescent="0.3">
      <c r="A24" t="s">
        <v>49</v>
      </c>
      <c r="B24" t="s">
        <v>16</v>
      </c>
      <c r="C24" t="s">
        <v>43</v>
      </c>
      <c r="D24" t="s">
        <v>6</v>
      </c>
      <c r="E24" s="2">
        <v>5.7</v>
      </c>
      <c r="F24" t="str">
        <f t="shared" si="1"/>
        <v>Đạt</v>
      </c>
      <c r="G24" t="str">
        <f t="shared" si="0"/>
        <v>Trung bình</v>
      </c>
      <c r="H24" t="s">
        <v>7</v>
      </c>
    </row>
    <row r="25" spans="1:8" x14ac:dyDescent="0.3">
      <c r="A25" t="s">
        <v>62</v>
      </c>
      <c r="B25" t="s">
        <v>29</v>
      </c>
      <c r="C25" t="s">
        <v>45</v>
      </c>
      <c r="D25" t="s">
        <v>8</v>
      </c>
      <c r="E25" s="2">
        <v>9.1</v>
      </c>
      <c r="F25" t="str">
        <f t="shared" si="1"/>
        <v>Đạt</v>
      </c>
      <c r="G25" t="str">
        <f t="shared" si="0"/>
        <v>Giỏi</v>
      </c>
      <c r="H25" t="s">
        <v>4</v>
      </c>
    </row>
    <row r="26" spans="1:8" x14ac:dyDescent="0.3">
      <c r="A26" t="s">
        <v>58</v>
      </c>
      <c r="B26" t="s">
        <v>25</v>
      </c>
      <c r="C26" t="s">
        <v>45</v>
      </c>
      <c r="D26" t="s">
        <v>6</v>
      </c>
      <c r="E26" s="2">
        <v>9.9</v>
      </c>
      <c r="F26" t="str">
        <f t="shared" si="1"/>
        <v>Đạt</v>
      </c>
      <c r="G26" t="str">
        <f t="shared" si="0"/>
        <v>Giỏi</v>
      </c>
      <c r="H26" t="s">
        <v>7</v>
      </c>
    </row>
    <row r="27" spans="1:8" x14ac:dyDescent="0.3">
      <c r="A27" t="s">
        <v>52</v>
      </c>
      <c r="B27" t="s">
        <v>19</v>
      </c>
      <c r="C27" t="s">
        <v>44</v>
      </c>
      <c r="D27" t="s">
        <v>8</v>
      </c>
      <c r="E27" s="2">
        <v>5.4</v>
      </c>
      <c r="F27" t="str">
        <f t="shared" si="1"/>
        <v>Đạt</v>
      </c>
      <c r="G27" t="str">
        <f t="shared" si="0"/>
        <v>Trung bình</v>
      </c>
      <c r="H27" t="s">
        <v>4</v>
      </c>
    </row>
    <row r="28" spans="1:8" x14ac:dyDescent="0.3">
      <c r="A28" t="s">
        <v>61</v>
      </c>
      <c r="B28" t="s">
        <v>28</v>
      </c>
      <c r="C28" t="s">
        <v>44</v>
      </c>
      <c r="D28" t="s">
        <v>12</v>
      </c>
      <c r="E28" s="2">
        <v>6.5</v>
      </c>
      <c r="F28" t="str">
        <f t="shared" si="1"/>
        <v>Đạt</v>
      </c>
      <c r="G28" t="str">
        <f t="shared" si="0"/>
        <v>Trung bình</v>
      </c>
      <c r="H28" t="s">
        <v>4</v>
      </c>
    </row>
    <row r="29" spans="1:8" x14ac:dyDescent="0.3">
      <c r="A29" t="s">
        <v>61</v>
      </c>
      <c r="B29" t="s">
        <v>28</v>
      </c>
      <c r="C29" t="s">
        <v>44</v>
      </c>
      <c r="D29" t="s">
        <v>9</v>
      </c>
      <c r="E29" s="2">
        <v>7.9</v>
      </c>
      <c r="F29" t="str">
        <f t="shared" si="1"/>
        <v>Đạt</v>
      </c>
      <c r="G29" t="str">
        <f t="shared" si="0"/>
        <v>Khá</v>
      </c>
      <c r="H29" t="s">
        <v>4</v>
      </c>
    </row>
    <row r="30" spans="1:8" x14ac:dyDescent="0.3">
      <c r="A30" t="s">
        <v>63</v>
      </c>
      <c r="B30" t="s">
        <v>30</v>
      </c>
      <c r="C30" t="s">
        <v>43</v>
      </c>
      <c r="D30" t="s">
        <v>6</v>
      </c>
      <c r="E30" s="2">
        <v>6.9</v>
      </c>
      <c r="F30" t="str">
        <f t="shared" si="1"/>
        <v>Đạt</v>
      </c>
      <c r="G30" t="str">
        <f t="shared" si="0"/>
        <v>Trung bình</v>
      </c>
      <c r="H30" t="s">
        <v>7</v>
      </c>
    </row>
    <row r="31" spans="1:8" x14ac:dyDescent="0.3">
      <c r="A31" t="s">
        <v>64</v>
      </c>
      <c r="B31" t="s">
        <v>31</v>
      </c>
      <c r="C31" t="s">
        <v>44</v>
      </c>
      <c r="D31" t="s">
        <v>3</v>
      </c>
      <c r="E31" s="2">
        <v>7.8</v>
      </c>
      <c r="F31" t="str">
        <f t="shared" si="1"/>
        <v>Đạt</v>
      </c>
      <c r="G31" t="str">
        <f t="shared" si="0"/>
        <v>Khá</v>
      </c>
      <c r="H31" t="s">
        <v>4</v>
      </c>
    </row>
    <row r="32" spans="1:8" x14ac:dyDescent="0.3">
      <c r="A32" t="s">
        <v>65</v>
      </c>
      <c r="B32" t="s">
        <v>32</v>
      </c>
      <c r="C32" t="s">
        <v>43</v>
      </c>
      <c r="D32" t="s">
        <v>8</v>
      </c>
      <c r="E32" s="2">
        <v>5.9</v>
      </c>
      <c r="F32" t="str">
        <f t="shared" si="1"/>
        <v>Đạt</v>
      </c>
      <c r="G32" t="str">
        <f t="shared" si="0"/>
        <v>Trung bình</v>
      </c>
      <c r="H32" t="s">
        <v>4</v>
      </c>
    </row>
    <row r="33" spans="1:8" x14ac:dyDescent="0.3">
      <c r="A33" t="s">
        <v>53</v>
      </c>
      <c r="B33" t="s">
        <v>20</v>
      </c>
      <c r="C33" t="s">
        <v>43</v>
      </c>
      <c r="D33" t="s">
        <v>8</v>
      </c>
      <c r="E33" s="2">
        <v>7.3</v>
      </c>
      <c r="F33" t="str">
        <f t="shared" si="1"/>
        <v>Đạt</v>
      </c>
      <c r="G33" t="str">
        <f t="shared" si="0"/>
        <v>Khá</v>
      </c>
      <c r="H33" t="s">
        <v>4</v>
      </c>
    </row>
    <row r="34" spans="1:8" x14ac:dyDescent="0.3">
      <c r="A34" t="s">
        <v>66</v>
      </c>
      <c r="B34" t="s">
        <v>33</v>
      </c>
      <c r="C34" t="s">
        <v>45</v>
      </c>
      <c r="D34" t="s">
        <v>8</v>
      </c>
      <c r="E34" s="2">
        <v>5.4</v>
      </c>
      <c r="F34" t="str">
        <f t="shared" si="1"/>
        <v>Đạt</v>
      </c>
      <c r="G34" t="str">
        <f t="shared" si="0"/>
        <v>Trung bình</v>
      </c>
      <c r="H34" t="s">
        <v>4</v>
      </c>
    </row>
    <row r="35" spans="1:8" x14ac:dyDescent="0.3">
      <c r="A35" t="s">
        <v>57</v>
      </c>
      <c r="B35" t="s">
        <v>24</v>
      </c>
      <c r="C35" t="s">
        <v>43</v>
      </c>
      <c r="D35" t="s">
        <v>12</v>
      </c>
      <c r="E35" s="2">
        <v>2.8</v>
      </c>
      <c r="F35" t="str">
        <f t="shared" si="1"/>
        <v>Không đạt</v>
      </c>
      <c r="G35" t="str">
        <f t="shared" si="0"/>
        <v>Yếu</v>
      </c>
      <c r="H35" t="s">
        <v>7</v>
      </c>
    </row>
    <row r="36" spans="1:8" x14ac:dyDescent="0.3">
      <c r="A36" t="s">
        <v>59</v>
      </c>
      <c r="B36" t="s">
        <v>26</v>
      </c>
      <c r="C36" t="s">
        <v>43</v>
      </c>
      <c r="D36" t="s">
        <v>8</v>
      </c>
      <c r="E36" s="2">
        <v>5.5</v>
      </c>
      <c r="F36" t="str">
        <f t="shared" si="1"/>
        <v>Đạt</v>
      </c>
      <c r="G36" t="str">
        <f t="shared" si="0"/>
        <v>Trung bình</v>
      </c>
      <c r="H36" t="s">
        <v>7</v>
      </c>
    </row>
    <row r="37" spans="1:8" x14ac:dyDescent="0.3">
      <c r="A37" t="s">
        <v>67</v>
      </c>
      <c r="B37" t="s">
        <v>34</v>
      </c>
      <c r="C37" t="s">
        <v>45</v>
      </c>
      <c r="D37" t="s">
        <v>3</v>
      </c>
      <c r="E37" s="2">
        <v>3.7</v>
      </c>
      <c r="F37" t="str">
        <f t="shared" si="1"/>
        <v>Không đạt</v>
      </c>
      <c r="G37" t="str">
        <f t="shared" si="0"/>
        <v>Yếu</v>
      </c>
      <c r="H37" t="s">
        <v>7</v>
      </c>
    </row>
    <row r="38" spans="1:8" x14ac:dyDescent="0.3">
      <c r="A38" t="s">
        <v>68</v>
      </c>
      <c r="B38" t="s">
        <v>35</v>
      </c>
      <c r="C38" t="s">
        <v>45</v>
      </c>
      <c r="D38" t="s">
        <v>3</v>
      </c>
      <c r="E38" s="2">
        <v>8.6999999999999993</v>
      </c>
      <c r="F38" t="str">
        <f t="shared" si="1"/>
        <v>Đạt</v>
      </c>
      <c r="G38" t="str">
        <f t="shared" si="0"/>
        <v>Giỏi</v>
      </c>
      <c r="H38" t="s">
        <v>7</v>
      </c>
    </row>
    <row r="39" spans="1:8" x14ac:dyDescent="0.3">
      <c r="A39" t="s">
        <v>47</v>
      </c>
      <c r="B39" t="s">
        <v>14</v>
      </c>
      <c r="C39" t="s">
        <v>44</v>
      </c>
      <c r="D39" t="s">
        <v>6</v>
      </c>
      <c r="E39" s="2">
        <v>5.6</v>
      </c>
      <c r="F39" t="str">
        <f t="shared" si="1"/>
        <v>Đạt</v>
      </c>
      <c r="G39" t="str">
        <f t="shared" si="0"/>
        <v>Trung bình</v>
      </c>
      <c r="H39" t="s">
        <v>7</v>
      </c>
    </row>
    <row r="40" spans="1:8" x14ac:dyDescent="0.3">
      <c r="A40" t="s">
        <v>56</v>
      </c>
      <c r="B40" t="s">
        <v>23</v>
      </c>
      <c r="C40" t="s">
        <v>44</v>
      </c>
      <c r="D40" t="s">
        <v>11</v>
      </c>
      <c r="E40" s="2">
        <v>7.8</v>
      </c>
      <c r="F40" t="str">
        <f t="shared" si="1"/>
        <v>Đạt</v>
      </c>
      <c r="G40" t="str">
        <f t="shared" si="0"/>
        <v>Khá</v>
      </c>
      <c r="H40" t="s">
        <v>7</v>
      </c>
    </row>
    <row r="41" spans="1:8" x14ac:dyDescent="0.3">
      <c r="A41" t="s">
        <v>53</v>
      </c>
      <c r="B41" t="s">
        <v>20</v>
      </c>
      <c r="C41" t="s">
        <v>43</v>
      </c>
      <c r="D41" t="s">
        <v>11</v>
      </c>
      <c r="E41" s="2">
        <v>2.7</v>
      </c>
      <c r="F41" t="str">
        <f t="shared" si="1"/>
        <v>Không đạt</v>
      </c>
      <c r="G41" t="str">
        <f t="shared" si="0"/>
        <v>Yếu</v>
      </c>
      <c r="H41" t="s">
        <v>4</v>
      </c>
    </row>
    <row r="42" spans="1:8" x14ac:dyDescent="0.3">
      <c r="A42" t="s">
        <v>54</v>
      </c>
      <c r="B42" t="s">
        <v>21</v>
      </c>
      <c r="C42" t="s">
        <v>43</v>
      </c>
      <c r="D42" t="s">
        <v>8</v>
      </c>
      <c r="E42" s="2">
        <v>8.8000000000000007</v>
      </c>
      <c r="F42" t="str">
        <f t="shared" si="1"/>
        <v>Đạt</v>
      </c>
      <c r="G42" t="str">
        <f t="shared" si="0"/>
        <v>Giỏi</v>
      </c>
      <c r="H42" t="s">
        <v>4</v>
      </c>
    </row>
    <row r="43" spans="1:8" x14ac:dyDescent="0.3">
      <c r="A43" t="s">
        <v>69</v>
      </c>
      <c r="B43" t="s">
        <v>36</v>
      </c>
      <c r="C43" t="s">
        <v>45</v>
      </c>
      <c r="D43" t="s">
        <v>10</v>
      </c>
      <c r="E43" s="2">
        <v>9.5</v>
      </c>
      <c r="F43" t="str">
        <f t="shared" si="1"/>
        <v>Đạt</v>
      </c>
      <c r="G43" t="str">
        <f t="shared" si="0"/>
        <v>Giỏi</v>
      </c>
      <c r="H43" t="s">
        <v>4</v>
      </c>
    </row>
    <row r="44" spans="1:8" x14ac:dyDescent="0.3">
      <c r="A44" t="s">
        <v>65</v>
      </c>
      <c r="B44" t="s">
        <v>32</v>
      </c>
      <c r="C44" t="s">
        <v>43</v>
      </c>
      <c r="D44" t="s">
        <v>9</v>
      </c>
      <c r="E44" s="2">
        <v>7.3</v>
      </c>
      <c r="F44" t="str">
        <f t="shared" si="1"/>
        <v>Đạt</v>
      </c>
      <c r="G44" t="str">
        <f t="shared" si="0"/>
        <v>Khá</v>
      </c>
      <c r="H44" t="s">
        <v>4</v>
      </c>
    </row>
    <row r="45" spans="1:8" x14ac:dyDescent="0.3">
      <c r="A45" t="s">
        <v>70</v>
      </c>
      <c r="B45" t="s">
        <v>37</v>
      </c>
      <c r="C45" t="s">
        <v>45</v>
      </c>
      <c r="D45" t="s">
        <v>10</v>
      </c>
      <c r="E45" s="2">
        <v>6</v>
      </c>
      <c r="F45" t="str">
        <f t="shared" si="1"/>
        <v>Đạt</v>
      </c>
      <c r="G45" t="str">
        <f t="shared" si="0"/>
        <v>Trung bình</v>
      </c>
      <c r="H45" t="s">
        <v>7</v>
      </c>
    </row>
    <row r="46" spans="1:8" x14ac:dyDescent="0.3">
      <c r="A46" t="s">
        <v>71</v>
      </c>
      <c r="B46" t="s">
        <v>38</v>
      </c>
      <c r="C46" t="s">
        <v>43</v>
      </c>
      <c r="D46" t="s">
        <v>8</v>
      </c>
      <c r="E46" s="2">
        <v>7.6</v>
      </c>
      <c r="F46" t="str">
        <f t="shared" si="1"/>
        <v>Đạt</v>
      </c>
      <c r="G46" t="str">
        <f t="shared" si="0"/>
        <v>Khá</v>
      </c>
      <c r="H46" t="s">
        <v>4</v>
      </c>
    </row>
    <row r="47" spans="1:8" x14ac:dyDescent="0.3">
      <c r="A47" t="s">
        <v>69</v>
      </c>
      <c r="B47" t="s">
        <v>36</v>
      </c>
      <c r="C47" t="s">
        <v>45</v>
      </c>
      <c r="D47" t="s">
        <v>12</v>
      </c>
      <c r="E47" s="2">
        <v>8.5</v>
      </c>
      <c r="F47" t="str">
        <f t="shared" si="1"/>
        <v>Đạt</v>
      </c>
      <c r="G47" t="str">
        <f t="shared" si="0"/>
        <v>Giỏi</v>
      </c>
      <c r="H47" t="s">
        <v>4</v>
      </c>
    </row>
    <row r="48" spans="1:8" x14ac:dyDescent="0.3">
      <c r="A48" t="s">
        <v>67</v>
      </c>
      <c r="B48" t="s">
        <v>34</v>
      </c>
      <c r="C48" t="s">
        <v>45</v>
      </c>
      <c r="D48" t="s">
        <v>12</v>
      </c>
      <c r="E48" s="2">
        <v>5.7</v>
      </c>
      <c r="F48" t="str">
        <f t="shared" si="1"/>
        <v>Đạt</v>
      </c>
      <c r="G48" t="str">
        <f t="shared" si="0"/>
        <v>Trung bình</v>
      </c>
      <c r="H48" t="s">
        <v>7</v>
      </c>
    </row>
    <row r="49" spans="1:8" x14ac:dyDescent="0.3">
      <c r="A49" t="s">
        <v>72</v>
      </c>
      <c r="B49" t="s">
        <v>39</v>
      </c>
      <c r="C49" t="s">
        <v>45</v>
      </c>
      <c r="D49" t="s">
        <v>6</v>
      </c>
      <c r="E49" s="2">
        <v>7.2</v>
      </c>
      <c r="F49" t="str">
        <f t="shared" si="1"/>
        <v>Đạt</v>
      </c>
      <c r="G49" t="str">
        <f t="shared" si="0"/>
        <v>Khá</v>
      </c>
      <c r="H49" t="s">
        <v>4</v>
      </c>
    </row>
    <row r="50" spans="1:8" x14ac:dyDescent="0.3">
      <c r="A50" t="s">
        <v>65</v>
      </c>
      <c r="B50" t="s">
        <v>32</v>
      </c>
      <c r="C50" t="s">
        <v>43</v>
      </c>
      <c r="D50" t="s">
        <v>12</v>
      </c>
      <c r="E50" s="2">
        <v>5.3</v>
      </c>
      <c r="F50" t="str">
        <f t="shared" si="1"/>
        <v>Đạt</v>
      </c>
      <c r="G50" t="str">
        <f t="shared" si="0"/>
        <v>Trung bình</v>
      </c>
      <c r="H50" t="s">
        <v>4</v>
      </c>
    </row>
    <row r="51" spans="1:8" x14ac:dyDescent="0.3">
      <c r="A51" t="s">
        <v>47</v>
      </c>
      <c r="B51" t="s">
        <v>14</v>
      </c>
      <c r="C51" t="s">
        <v>44</v>
      </c>
      <c r="D51" t="s">
        <v>3</v>
      </c>
      <c r="E51" s="2">
        <v>7.2</v>
      </c>
      <c r="F51" t="str">
        <f t="shared" si="1"/>
        <v>Đạt</v>
      </c>
      <c r="G51" t="str">
        <f t="shared" si="0"/>
        <v>Khá</v>
      </c>
      <c r="H51" t="s">
        <v>7</v>
      </c>
    </row>
    <row r="52" spans="1:8" x14ac:dyDescent="0.3">
      <c r="A52" t="s">
        <v>58</v>
      </c>
      <c r="B52" t="s">
        <v>25</v>
      </c>
      <c r="C52" t="s">
        <v>45</v>
      </c>
      <c r="D52" t="s">
        <v>10</v>
      </c>
      <c r="E52" s="2">
        <v>7.8</v>
      </c>
      <c r="F52" t="str">
        <f t="shared" si="1"/>
        <v>Đạt</v>
      </c>
      <c r="G52" t="str">
        <f t="shared" si="0"/>
        <v>Khá</v>
      </c>
      <c r="H52" t="s">
        <v>7</v>
      </c>
    </row>
    <row r="53" spans="1:8" x14ac:dyDescent="0.3">
      <c r="A53" t="s">
        <v>73</v>
      </c>
      <c r="B53" t="s">
        <v>40</v>
      </c>
      <c r="C53" t="s">
        <v>43</v>
      </c>
      <c r="D53" t="s">
        <v>3</v>
      </c>
      <c r="E53" s="2">
        <v>6.6</v>
      </c>
      <c r="F53" t="str">
        <f t="shared" si="1"/>
        <v>Đạt</v>
      </c>
      <c r="G53" t="str">
        <f t="shared" si="0"/>
        <v>Trung bình</v>
      </c>
      <c r="H53" t="s">
        <v>7</v>
      </c>
    </row>
    <row r="54" spans="1:8" x14ac:dyDescent="0.3">
      <c r="A54" t="s">
        <v>74</v>
      </c>
      <c r="B54" t="s">
        <v>41</v>
      </c>
      <c r="C54" t="s">
        <v>44</v>
      </c>
      <c r="D54" t="s">
        <v>8</v>
      </c>
      <c r="E54" s="2">
        <v>8.1999999999999993</v>
      </c>
      <c r="F54" t="str">
        <f t="shared" si="1"/>
        <v>Đạt</v>
      </c>
      <c r="G54" t="str">
        <f t="shared" si="0"/>
        <v>Khá</v>
      </c>
      <c r="H54" t="s">
        <v>4</v>
      </c>
    </row>
    <row r="55" spans="1:8" x14ac:dyDescent="0.3">
      <c r="A55" t="s">
        <v>73</v>
      </c>
      <c r="B55" t="s">
        <v>40</v>
      </c>
      <c r="C55" t="s">
        <v>43</v>
      </c>
      <c r="D55" t="s">
        <v>10</v>
      </c>
      <c r="E55" s="2">
        <v>9.1</v>
      </c>
      <c r="F55" t="str">
        <f t="shared" si="1"/>
        <v>Đạt</v>
      </c>
      <c r="G55" t="str">
        <f t="shared" si="0"/>
        <v>Giỏi</v>
      </c>
      <c r="H55" t="s">
        <v>7</v>
      </c>
    </row>
    <row r="56" spans="1:8" x14ac:dyDescent="0.3">
      <c r="A56" t="s">
        <v>56</v>
      </c>
      <c r="B56" t="s">
        <v>23</v>
      </c>
      <c r="C56" t="s">
        <v>44</v>
      </c>
      <c r="D56" t="s">
        <v>10</v>
      </c>
      <c r="E56" s="2">
        <v>9.5</v>
      </c>
      <c r="F56" t="str">
        <f t="shared" si="1"/>
        <v>Đạt</v>
      </c>
      <c r="G56" t="str">
        <f t="shared" si="0"/>
        <v>Giỏi</v>
      </c>
      <c r="H56" t="s">
        <v>7</v>
      </c>
    </row>
    <row r="57" spans="1:8" x14ac:dyDescent="0.3">
      <c r="A57" t="s">
        <v>70</v>
      </c>
      <c r="B57" t="s">
        <v>37</v>
      </c>
      <c r="C57" t="s">
        <v>45</v>
      </c>
      <c r="D57" t="s">
        <v>11</v>
      </c>
      <c r="E57" s="2">
        <v>5.7</v>
      </c>
      <c r="F57" t="str">
        <f t="shared" si="1"/>
        <v>Đạt</v>
      </c>
      <c r="G57" t="str">
        <f t="shared" si="0"/>
        <v>Trung bình</v>
      </c>
      <c r="H57" t="s">
        <v>7</v>
      </c>
    </row>
    <row r="58" spans="1:8" x14ac:dyDescent="0.3">
      <c r="A58" t="s">
        <v>47</v>
      </c>
      <c r="B58" t="s">
        <v>14</v>
      </c>
      <c r="C58" t="s">
        <v>44</v>
      </c>
      <c r="D58" t="s">
        <v>9</v>
      </c>
      <c r="E58" s="2">
        <v>7.5</v>
      </c>
      <c r="F58" t="str">
        <f t="shared" si="1"/>
        <v>Đạt</v>
      </c>
      <c r="G58" t="str">
        <f t="shared" si="0"/>
        <v>Khá</v>
      </c>
      <c r="H58" t="s">
        <v>7</v>
      </c>
    </row>
    <row r="59" spans="1:8" x14ac:dyDescent="0.3">
      <c r="A59" t="s">
        <v>55</v>
      </c>
      <c r="B59" t="s">
        <v>22</v>
      </c>
      <c r="C59" t="s">
        <v>44</v>
      </c>
      <c r="D59" t="s">
        <v>9</v>
      </c>
      <c r="E59" s="2">
        <v>9.6</v>
      </c>
      <c r="F59" t="str">
        <f t="shared" si="1"/>
        <v>Đạt</v>
      </c>
      <c r="G59" t="str">
        <f t="shared" si="0"/>
        <v>Giỏi</v>
      </c>
      <c r="H59" t="s">
        <v>4</v>
      </c>
    </row>
    <row r="60" spans="1:8" x14ac:dyDescent="0.3">
      <c r="A60" t="s">
        <v>74</v>
      </c>
      <c r="B60" t="s">
        <v>41</v>
      </c>
      <c r="C60" t="s">
        <v>44</v>
      </c>
      <c r="D60" t="s">
        <v>9</v>
      </c>
      <c r="E60" s="2">
        <v>6.7</v>
      </c>
      <c r="F60" t="str">
        <f t="shared" si="1"/>
        <v>Đạt</v>
      </c>
      <c r="G60" t="str">
        <f t="shared" si="0"/>
        <v>Trung bình</v>
      </c>
      <c r="H60" t="s">
        <v>4</v>
      </c>
    </row>
    <row r="61" spans="1:8" x14ac:dyDescent="0.3">
      <c r="A61" t="s">
        <v>58</v>
      </c>
      <c r="B61" t="s">
        <v>25</v>
      </c>
      <c r="C61" t="s">
        <v>45</v>
      </c>
      <c r="D61" t="s">
        <v>8</v>
      </c>
      <c r="E61" s="2">
        <v>7.5</v>
      </c>
      <c r="F61" t="str">
        <f t="shared" si="1"/>
        <v>Đạt</v>
      </c>
      <c r="G61" t="str">
        <f t="shared" si="0"/>
        <v>Khá</v>
      </c>
      <c r="H61" t="s">
        <v>7</v>
      </c>
    </row>
    <row r="62" spans="1:8" x14ac:dyDescent="0.3">
      <c r="A62" t="s">
        <v>70</v>
      </c>
      <c r="B62" t="s">
        <v>37</v>
      </c>
      <c r="C62" t="s">
        <v>45</v>
      </c>
      <c r="D62" t="s">
        <v>5</v>
      </c>
      <c r="E62" s="2">
        <v>2.6</v>
      </c>
      <c r="F62" t="str">
        <f t="shared" si="1"/>
        <v>Không đạt</v>
      </c>
      <c r="G62" t="str">
        <f t="shared" si="0"/>
        <v>Yếu</v>
      </c>
      <c r="H62" t="s">
        <v>7</v>
      </c>
    </row>
    <row r="63" spans="1:8" x14ac:dyDescent="0.3">
      <c r="A63" t="s">
        <v>69</v>
      </c>
      <c r="B63" t="s">
        <v>36</v>
      </c>
      <c r="C63" t="s">
        <v>45</v>
      </c>
      <c r="D63" t="s">
        <v>6</v>
      </c>
      <c r="E63" s="2">
        <v>5</v>
      </c>
      <c r="F63" t="str">
        <f t="shared" si="1"/>
        <v>Đạt</v>
      </c>
      <c r="G63" t="str">
        <f t="shared" si="0"/>
        <v>Trung bình</v>
      </c>
      <c r="H63" t="s">
        <v>4</v>
      </c>
    </row>
    <row r="64" spans="1:8" x14ac:dyDescent="0.3">
      <c r="A64" t="s">
        <v>48</v>
      </c>
      <c r="B64" t="s">
        <v>15</v>
      </c>
      <c r="C64" t="s">
        <v>44</v>
      </c>
      <c r="D64" t="s">
        <v>11</v>
      </c>
      <c r="E64" s="2">
        <v>3.5</v>
      </c>
      <c r="F64" t="str">
        <f t="shared" si="1"/>
        <v>Không đạt</v>
      </c>
      <c r="G64" t="str">
        <f t="shared" si="0"/>
        <v>Yếu</v>
      </c>
      <c r="H64" t="s">
        <v>7</v>
      </c>
    </row>
    <row r="65" spans="1:8" x14ac:dyDescent="0.3">
      <c r="A65" t="s">
        <v>70</v>
      </c>
      <c r="B65" t="s">
        <v>37</v>
      </c>
      <c r="C65" t="s">
        <v>45</v>
      </c>
      <c r="D65" t="s">
        <v>3</v>
      </c>
      <c r="E65" s="2">
        <v>5.7</v>
      </c>
      <c r="F65" t="str">
        <f t="shared" si="1"/>
        <v>Đạt</v>
      </c>
      <c r="G65" t="str">
        <f t="shared" si="0"/>
        <v>Trung bình</v>
      </c>
      <c r="H65" t="s">
        <v>7</v>
      </c>
    </row>
    <row r="66" spans="1:8" x14ac:dyDescent="0.3">
      <c r="A66" t="s">
        <v>50</v>
      </c>
      <c r="B66" t="s">
        <v>17</v>
      </c>
      <c r="C66" t="s">
        <v>45</v>
      </c>
      <c r="D66" t="s">
        <v>12</v>
      </c>
      <c r="E66" s="2">
        <v>7.5</v>
      </c>
      <c r="F66" t="str">
        <f t="shared" ref="F66:F129" si="2">IF(E66 &gt;=5, "Đạt", "Không đạt")</f>
        <v>Đạt</v>
      </c>
      <c r="G66" t="str">
        <f t="shared" ref="G66:G129" si="3">IF(E66&gt;=8.5,"Giỏi",IF(E66&gt;=7,"Khá",IF(E66&gt;=5,"Trung bình","Yếu")))</f>
        <v>Khá</v>
      </c>
      <c r="H66" t="s">
        <v>4</v>
      </c>
    </row>
    <row r="67" spans="1:8" x14ac:dyDescent="0.3">
      <c r="A67" t="s">
        <v>67</v>
      </c>
      <c r="B67" t="s">
        <v>34</v>
      </c>
      <c r="C67" t="s">
        <v>45</v>
      </c>
      <c r="D67" t="s">
        <v>11</v>
      </c>
      <c r="E67" s="2">
        <v>8.6</v>
      </c>
      <c r="F67" t="str">
        <f t="shared" si="2"/>
        <v>Đạt</v>
      </c>
      <c r="G67" t="str">
        <f t="shared" si="3"/>
        <v>Giỏi</v>
      </c>
      <c r="H67" t="s">
        <v>7</v>
      </c>
    </row>
    <row r="68" spans="1:8" x14ac:dyDescent="0.3">
      <c r="A68" t="s">
        <v>64</v>
      </c>
      <c r="B68" t="s">
        <v>31</v>
      </c>
      <c r="C68" t="s">
        <v>44</v>
      </c>
      <c r="D68" t="s">
        <v>11</v>
      </c>
      <c r="E68" s="2">
        <v>6.7</v>
      </c>
      <c r="F68" t="str">
        <f t="shared" si="2"/>
        <v>Đạt</v>
      </c>
      <c r="G68" t="str">
        <f t="shared" si="3"/>
        <v>Trung bình</v>
      </c>
      <c r="H68" t="s">
        <v>4</v>
      </c>
    </row>
    <row r="69" spans="1:8" x14ac:dyDescent="0.3">
      <c r="A69" t="s">
        <v>50</v>
      </c>
      <c r="B69" t="s">
        <v>17</v>
      </c>
      <c r="C69" t="s">
        <v>45</v>
      </c>
      <c r="D69" t="s">
        <v>5</v>
      </c>
      <c r="E69" s="2">
        <v>7.1</v>
      </c>
      <c r="F69" t="str">
        <f t="shared" si="2"/>
        <v>Đạt</v>
      </c>
      <c r="G69" t="str">
        <f t="shared" si="3"/>
        <v>Khá</v>
      </c>
      <c r="H69" t="s">
        <v>4</v>
      </c>
    </row>
    <row r="70" spans="1:8" x14ac:dyDescent="0.3">
      <c r="A70" t="s">
        <v>72</v>
      </c>
      <c r="B70" t="s">
        <v>39</v>
      </c>
      <c r="C70" t="s">
        <v>45</v>
      </c>
      <c r="D70" t="s">
        <v>11</v>
      </c>
      <c r="E70" s="2">
        <v>6.6</v>
      </c>
      <c r="F70" t="str">
        <f t="shared" si="2"/>
        <v>Đạt</v>
      </c>
      <c r="G70" t="str">
        <f t="shared" si="3"/>
        <v>Trung bình</v>
      </c>
      <c r="H70" t="s">
        <v>4</v>
      </c>
    </row>
    <row r="71" spans="1:8" x14ac:dyDescent="0.3">
      <c r="A71" t="s">
        <v>58</v>
      </c>
      <c r="B71" t="s">
        <v>25</v>
      </c>
      <c r="C71" t="s">
        <v>45</v>
      </c>
      <c r="D71" t="s">
        <v>11</v>
      </c>
      <c r="E71" s="2">
        <v>6.7</v>
      </c>
      <c r="F71" t="str">
        <f t="shared" si="2"/>
        <v>Đạt</v>
      </c>
      <c r="G71" t="str">
        <f t="shared" si="3"/>
        <v>Trung bình</v>
      </c>
      <c r="H71" t="s">
        <v>7</v>
      </c>
    </row>
    <row r="72" spans="1:8" x14ac:dyDescent="0.3">
      <c r="A72" t="s">
        <v>60</v>
      </c>
      <c r="B72" t="s">
        <v>27</v>
      </c>
      <c r="C72" t="s">
        <v>44</v>
      </c>
      <c r="D72" t="s">
        <v>11</v>
      </c>
      <c r="E72" s="2">
        <v>7</v>
      </c>
      <c r="F72" t="str">
        <f t="shared" si="2"/>
        <v>Đạt</v>
      </c>
      <c r="G72" t="str">
        <f t="shared" si="3"/>
        <v>Khá</v>
      </c>
      <c r="H72" t="s">
        <v>7</v>
      </c>
    </row>
    <row r="73" spans="1:8" x14ac:dyDescent="0.3">
      <c r="A73" t="s">
        <v>63</v>
      </c>
      <c r="B73" t="s">
        <v>30</v>
      </c>
      <c r="C73" t="s">
        <v>43</v>
      </c>
      <c r="D73" t="s">
        <v>9</v>
      </c>
      <c r="E73" s="2">
        <v>4.0999999999999996</v>
      </c>
      <c r="F73" t="str">
        <f t="shared" si="2"/>
        <v>Không đạt</v>
      </c>
      <c r="G73" t="str">
        <f t="shared" si="3"/>
        <v>Yếu</v>
      </c>
      <c r="H73" t="s">
        <v>7</v>
      </c>
    </row>
    <row r="74" spans="1:8" x14ac:dyDescent="0.3">
      <c r="A74" t="s">
        <v>70</v>
      </c>
      <c r="B74" t="s">
        <v>37</v>
      </c>
      <c r="C74" t="s">
        <v>45</v>
      </c>
      <c r="D74" t="s">
        <v>9</v>
      </c>
      <c r="E74" s="2">
        <v>6.7</v>
      </c>
      <c r="F74" t="str">
        <f t="shared" si="2"/>
        <v>Đạt</v>
      </c>
      <c r="G74" t="str">
        <f t="shared" si="3"/>
        <v>Trung bình</v>
      </c>
      <c r="H74" t="s">
        <v>7</v>
      </c>
    </row>
    <row r="75" spans="1:8" x14ac:dyDescent="0.3">
      <c r="A75" t="s">
        <v>67</v>
      </c>
      <c r="B75" t="s">
        <v>34</v>
      </c>
      <c r="C75" t="s">
        <v>45</v>
      </c>
      <c r="D75" t="s">
        <v>6</v>
      </c>
      <c r="E75" s="2">
        <v>9.1</v>
      </c>
      <c r="F75" t="str">
        <f t="shared" si="2"/>
        <v>Đạt</v>
      </c>
      <c r="G75" t="str">
        <f t="shared" si="3"/>
        <v>Giỏi</v>
      </c>
      <c r="H75" t="s">
        <v>7</v>
      </c>
    </row>
    <row r="76" spans="1:8" x14ac:dyDescent="0.3">
      <c r="A76" t="s">
        <v>73</v>
      </c>
      <c r="B76" t="s">
        <v>40</v>
      </c>
      <c r="C76" t="s">
        <v>43</v>
      </c>
      <c r="D76" t="s">
        <v>12</v>
      </c>
      <c r="E76" s="2">
        <v>5.2</v>
      </c>
      <c r="F76" t="str">
        <f t="shared" si="2"/>
        <v>Đạt</v>
      </c>
      <c r="G76" t="str">
        <f t="shared" si="3"/>
        <v>Trung bình</v>
      </c>
      <c r="H76" t="s">
        <v>7</v>
      </c>
    </row>
    <row r="77" spans="1:8" x14ac:dyDescent="0.3">
      <c r="A77" t="s">
        <v>68</v>
      </c>
      <c r="B77" t="s">
        <v>35</v>
      </c>
      <c r="C77" t="s">
        <v>45</v>
      </c>
      <c r="D77" t="s">
        <v>5</v>
      </c>
      <c r="E77" s="2">
        <v>9.6999999999999993</v>
      </c>
      <c r="F77" t="str">
        <f t="shared" si="2"/>
        <v>Đạt</v>
      </c>
      <c r="G77" t="str">
        <f t="shared" si="3"/>
        <v>Giỏi</v>
      </c>
      <c r="H77" t="s">
        <v>7</v>
      </c>
    </row>
    <row r="78" spans="1:8" x14ac:dyDescent="0.3">
      <c r="A78" t="s">
        <v>62</v>
      </c>
      <c r="B78" t="s">
        <v>29</v>
      </c>
      <c r="C78" t="s">
        <v>45</v>
      </c>
      <c r="D78" t="s">
        <v>10</v>
      </c>
      <c r="E78" s="2">
        <v>6.7</v>
      </c>
      <c r="F78" t="str">
        <f t="shared" si="2"/>
        <v>Đạt</v>
      </c>
      <c r="G78" t="str">
        <f t="shared" si="3"/>
        <v>Trung bình</v>
      </c>
      <c r="H78" t="s">
        <v>4</v>
      </c>
    </row>
    <row r="79" spans="1:8" x14ac:dyDescent="0.3">
      <c r="A79" t="s">
        <v>71</v>
      </c>
      <c r="B79" t="s">
        <v>38</v>
      </c>
      <c r="C79" t="s">
        <v>43</v>
      </c>
      <c r="D79" t="s">
        <v>5</v>
      </c>
      <c r="E79" s="2">
        <v>5</v>
      </c>
      <c r="F79" t="str">
        <f t="shared" si="2"/>
        <v>Đạt</v>
      </c>
      <c r="G79" t="str">
        <f t="shared" si="3"/>
        <v>Trung bình</v>
      </c>
      <c r="H79" t="s">
        <v>4</v>
      </c>
    </row>
    <row r="80" spans="1:8" x14ac:dyDescent="0.3">
      <c r="A80" t="s">
        <v>73</v>
      </c>
      <c r="B80" t="s">
        <v>40</v>
      </c>
      <c r="C80" t="s">
        <v>43</v>
      </c>
      <c r="D80" t="s">
        <v>11</v>
      </c>
      <c r="E80" s="2">
        <v>7.8</v>
      </c>
      <c r="F80" t="str">
        <f t="shared" si="2"/>
        <v>Đạt</v>
      </c>
      <c r="G80" t="str">
        <f t="shared" si="3"/>
        <v>Khá</v>
      </c>
      <c r="H80" t="s">
        <v>7</v>
      </c>
    </row>
    <row r="81" spans="1:8" x14ac:dyDescent="0.3">
      <c r="A81" t="s">
        <v>54</v>
      </c>
      <c r="B81" t="s">
        <v>21</v>
      </c>
      <c r="C81" t="s">
        <v>43</v>
      </c>
      <c r="D81" t="s">
        <v>3</v>
      </c>
      <c r="E81" s="2">
        <v>7.4</v>
      </c>
      <c r="F81" t="str">
        <f t="shared" si="2"/>
        <v>Đạt</v>
      </c>
      <c r="G81" t="str">
        <f t="shared" si="3"/>
        <v>Khá</v>
      </c>
      <c r="H81" t="s">
        <v>4</v>
      </c>
    </row>
    <row r="82" spans="1:8" x14ac:dyDescent="0.3">
      <c r="A82" t="s">
        <v>66</v>
      </c>
      <c r="B82" t="s">
        <v>33</v>
      </c>
      <c r="C82" t="s">
        <v>45</v>
      </c>
      <c r="D82" t="s">
        <v>10</v>
      </c>
      <c r="E82" s="2">
        <v>3.7</v>
      </c>
      <c r="F82" t="str">
        <f t="shared" si="2"/>
        <v>Không đạt</v>
      </c>
      <c r="G82" t="str">
        <f t="shared" si="3"/>
        <v>Yếu</v>
      </c>
      <c r="H82" t="s">
        <v>4</v>
      </c>
    </row>
    <row r="83" spans="1:8" x14ac:dyDescent="0.3">
      <c r="A83" t="s">
        <v>55</v>
      </c>
      <c r="B83" t="s">
        <v>22</v>
      </c>
      <c r="C83" t="s">
        <v>44</v>
      </c>
      <c r="D83" t="s">
        <v>10</v>
      </c>
      <c r="E83" s="2">
        <v>3.4</v>
      </c>
      <c r="F83" t="str">
        <f t="shared" si="2"/>
        <v>Không đạt</v>
      </c>
      <c r="G83" t="str">
        <f t="shared" si="3"/>
        <v>Yếu</v>
      </c>
      <c r="H83" t="s">
        <v>4</v>
      </c>
    </row>
    <row r="84" spans="1:8" x14ac:dyDescent="0.3">
      <c r="A84" t="s">
        <v>49</v>
      </c>
      <c r="B84" t="s">
        <v>16</v>
      </c>
      <c r="C84" t="s">
        <v>43</v>
      </c>
      <c r="D84" t="s">
        <v>10</v>
      </c>
      <c r="E84" s="2">
        <v>9.5</v>
      </c>
      <c r="F84" t="str">
        <f t="shared" si="2"/>
        <v>Đạt</v>
      </c>
      <c r="G84" t="str">
        <f t="shared" si="3"/>
        <v>Giỏi</v>
      </c>
      <c r="H84" t="s">
        <v>7</v>
      </c>
    </row>
    <row r="85" spans="1:8" x14ac:dyDescent="0.3">
      <c r="A85" t="s">
        <v>49</v>
      </c>
      <c r="B85" t="s">
        <v>16</v>
      </c>
      <c r="C85" t="s">
        <v>43</v>
      </c>
      <c r="D85" t="s">
        <v>11</v>
      </c>
      <c r="E85" s="2">
        <v>8.6</v>
      </c>
      <c r="F85" t="str">
        <f t="shared" si="2"/>
        <v>Đạt</v>
      </c>
      <c r="G85" t="str">
        <f t="shared" si="3"/>
        <v>Giỏi</v>
      </c>
      <c r="H85" t="s">
        <v>7</v>
      </c>
    </row>
    <row r="86" spans="1:8" x14ac:dyDescent="0.3">
      <c r="A86" t="s">
        <v>55</v>
      </c>
      <c r="B86" t="s">
        <v>22</v>
      </c>
      <c r="C86" t="s">
        <v>44</v>
      </c>
      <c r="D86" t="s">
        <v>5</v>
      </c>
      <c r="E86" s="2">
        <v>7.6</v>
      </c>
      <c r="F86" t="str">
        <f t="shared" si="2"/>
        <v>Đạt</v>
      </c>
      <c r="G86" t="str">
        <f t="shared" si="3"/>
        <v>Khá</v>
      </c>
      <c r="H86" t="s">
        <v>4</v>
      </c>
    </row>
    <row r="87" spans="1:8" x14ac:dyDescent="0.3">
      <c r="A87" t="s">
        <v>64</v>
      </c>
      <c r="B87" t="s">
        <v>31</v>
      </c>
      <c r="C87" t="s">
        <v>44</v>
      </c>
      <c r="D87" t="s">
        <v>8</v>
      </c>
      <c r="E87" s="2">
        <v>8.1</v>
      </c>
      <c r="F87" t="str">
        <f t="shared" si="2"/>
        <v>Đạt</v>
      </c>
      <c r="G87" t="str">
        <f t="shared" si="3"/>
        <v>Khá</v>
      </c>
      <c r="H87" t="s">
        <v>4</v>
      </c>
    </row>
    <row r="88" spans="1:8" x14ac:dyDescent="0.3">
      <c r="A88" t="s">
        <v>54</v>
      </c>
      <c r="B88" t="s">
        <v>21</v>
      </c>
      <c r="C88" t="s">
        <v>43</v>
      </c>
      <c r="D88" t="s">
        <v>10</v>
      </c>
      <c r="E88" s="2">
        <v>5.8</v>
      </c>
      <c r="F88" t="str">
        <f t="shared" si="2"/>
        <v>Đạt</v>
      </c>
      <c r="G88" t="str">
        <f t="shared" si="3"/>
        <v>Trung bình</v>
      </c>
      <c r="H88" t="s">
        <v>4</v>
      </c>
    </row>
    <row r="89" spans="1:8" x14ac:dyDescent="0.3">
      <c r="A89" t="s">
        <v>69</v>
      </c>
      <c r="B89" t="s">
        <v>36</v>
      </c>
      <c r="C89" t="s">
        <v>45</v>
      </c>
      <c r="D89" t="s">
        <v>8</v>
      </c>
      <c r="E89" s="2">
        <v>9.9</v>
      </c>
      <c r="F89" t="str">
        <f t="shared" si="2"/>
        <v>Đạt</v>
      </c>
      <c r="G89" t="str">
        <f t="shared" si="3"/>
        <v>Giỏi</v>
      </c>
      <c r="H89" t="s">
        <v>4</v>
      </c>
    </row>
    <row r="90" spans="1:8" x14ac:dyDescent="0.3">
      <c r="A90" t="s">
        <v>71</v>
      </c>
      <c r="B90" t="s">
        <v>38</v>
      </c>
      <c r="C90" t="s">
        <v>43</v>
      </c>
      <c r="D90" t="s">
        <v>11</v>
      </c>
      <c r="E90" s="2">
        <v>6.7</v>
      </c>
      <c r="F90" t="str">
        <f t="shared" si="2"/>
        <v>Đạt</v>
      </c>
      <c r="G90" t="str">
        <f t="shared" si="3"/>
        <v>Trung bình</v>
      </c>
      <c r="H90" t="s">
        <v>4</v>
      </c>
    </row>
    <row r="91" spans="1:8" x14ac:dyDescent="0.3">
      <c r="A91" t="s">
        <v>60</v>
      </c>
      <c r="B91" t="s">
        <v>27</v>
      </c>
      <c r="C91" t="s">
        <v>44</v>
      </c>
      <c r="D91" t="s">
        <v>5</v>
      </c>
      <c r="E91" s="2">
        <v>8.3000000000000007</v>
      </c>
      <c r="F91" t="str">
        <f t="shared" si="2"/>
        <v>Đạt</v>
      </c>
      <c r="G91" t="str">
        <f t="shared" si="3"/>
        <v>Khá</v>
      </c>
      <c r="H91" t="s">
        <v>7</v>
      </c>
    </row>
    <row r="92" spans="1:8" x14ac:dyDescent="0.3">
      <c r="A92" t="s">
        <v>69</v>
      </c>
      <c r="B92" t="s">
        <v>36</v>
      </c>
      <c r="C92" t="s">
        <v>45</v>
      </c>
      <c r="D92" t="s">
        <v>3</v>
      </c>
      <c r="E92" s="2">
        <v>9.8000000000000007</v>
      </c>
      <c r="F92" t="str">
        <f t="shared" si="2"/>
        <v>Đạt</v>
      </c>
      <c r="G92" t="str">
        <f t="shared" si="3"/>
        <v>Giỏi</v>
      </c>
      <c r="H92" t="s">
        <v>4</v>
      </c>
    </row>
    <row r="93" spans="1:8" x14ac:dyDescent="0.3">
      <c r="A93" t="s">
        <v>75</v>
      </c>
      <c r="B93" t="s">
        <v>42</v>
      </c>
      <c r="C93" t="s">
        <v>45</v>
      </c>
      <c r="D93" t="s">
        <v>5</v>
      </c>
      <c r="E93" s="2">
        <v>7.9</v>
      </c>
      <c r="F93" t="str">
        <f t="shared" si="2"/>
        <v>Đạt</v>
      </c>
      <c r="G93" t="str">
        <f t="shared" si="3"/>
        <v>Khá</v>
      </c>
      <c r="H93" t="s">
        <v>7</v>
      </c>
    </row>
    <row r="94" spans="1:8" x14ac:dyDescent="0.3">
      <c r="A94" t="s">
        <v>66</v>
      </c>
      <c r="B94" t="s">
        <v>33</v>
      </c>
      <c r="C94" t="s">
        <v>45</v>
      </c>
      <c r="D94" t="s">
        <v>11</v>
      </c>
      <c r="E94" s="2">
        <v>6.3</v>
      </c>
      <c r="F94" t="str">
        <f t="shared" si="2"/>
        <v>Đạt</v>
      </c>
      <c r="G94" t="str">
        <f t="shared" si="3"/>
        <v>Trung bình</v>
      </c>
      <c r="H94" t="s">
        <v>4</v>
      </c>
    </row>
    <row r="95" spans="1:8" x14ac:dyDescent="0.3">
      <c r="A95" t="s">
        <v>50</v>
      </c>
      <c r="B95" t="s">
        <v>17</v>
      </c>
      <c r="C95" t="s">
        <v>45</v>
      </c>
      <c r="D95" t="s">
        <v>10</v>
      </c>
      <c r="E95" s="2">
        <v>9.8000000000000007</v>
      </c>
      <c r="F95" t="str">
        <f t="shared" si="2"/>
        <v>Đạt</v>
      </c>
      <c r="G95" t="str">
        <f t="shared" si="3"/>
        <v>Giỏi</v>
      </c>
      <c r="H95" t="s">
        <v>4</v>
      </c>
    </row>
    <row r="96" spans="1:8" x14ac:dyDescent="0.3">
      <c r="A96" t="s">
        <v>71</v>
      </c>
      <c r="B96" t="s">
        <v>38</v>
      </c>
      <c r="C96" t="s">
        <v>43</v>
      </c>
      <c r="D96" t="s">
        <v>6</v>
      </c>
      <c r="E96" s="2">
        <v>7</v>
      </c>
      <c r="F96" t="str">
        <f t="shared" si="2"/>
        <v>Đạt</v>
      </c>
      <c r="G96" t="str">
        <f t="shared" si="3"/>
        <v>Khá</v>
      </c>
      <c r="H96" t="s">
        <v>4</v>
      </c>
    </row>
    <row r="97" spans="1:8" x14ac:dyDescent="0.3">
      <c r="A97" t="s">
        <v>48</v>
      </c>
      <c r="B97" t="s">
        <v>15</v>
      </c>
      <c r="C97" t="s">
        <v>44</v>
      </c>
      <c r="D97" t="s">
        <v>5</v>
      </c>
      <c r="E97" s="2">
        <v>8.3000000000000007</v>
      </c>
      <c r="F97" t="str">
        <f t="shared" si="2"/>
        <v>Đạt</v>
      </c>
      <c r="G97" t="str">
        <f t="shared" si="3"/>
        <v>Khá</v>
      </c>
      <c r="H97" t="s">
        <v>7</v>
      </c>
    </row>
    <row r="98" spans="1:8" x14ac:dyDescent="0.3">
      <c r="A98" t="s">
        <v>53</v>
      </c>
      <c r="B98" t="s">
        <v>20</v>
      </c>
      <c r="C98" t="s">
        <v>43</v>
      </c>
      <c r="D98" t="s">
        <v>10</v>
      </c>
      <c r="E98" s="2">
        <v>9.5</v>
      </c>
      <c r="F98" t="str">
        <f t="shared" si="2"/>
        <v>Đạt</v>
      </c>
      <c r="G98" t="str">
        <f t="shared" si="3"/>
        <v>Giỏi</v>
      </c>
      <c r="H98" t="s">
        <v>4</v>
      </c>
    </row>
    <row r="99" spans="1:8" x14ac:dyDescent="0.3">
      <c r="A99" t="s">
        <v>73</v>
      </c>
      <c r="B99" t="s">
        <v>40</v>
      </c>
      <c r="C99" t="s">
        <v>43</v>
      </c>
      <c r="D99" t="s">
        <v>9</v>
      </c>
      <c r="E99" s="2">
        <v>8.6</v>
      </c>
      <c r="F99" t="str">
        <f t="shared" si="2"/>
        <v>Đạt</v>
      </c>
      <c r="G99" t="str">
        <f t="shared" si="3"/>
        <v>Giỏi</v>
      </c>
      <c r="H99" t="s">
        <v>7</v>
      </c>
    </row>
    <row r="100" spans="1:8" x14ac:dyDescent="0.3">
      <c r="A100" t="s">
        <v>54</v>
      </c>
      <c r="B100" t="s">
        <v>21</v>
      </c>
      <c r="C100" t="s">
        <v>43</v>
      </c>
      <c r="D100" t="s">
        <v>11</v>
      </c>
      <c r="E100" s="2">
        <v>9.6999999999999993</v>
      </c>
      <c r="F100" t="str">
        <f t="shared" si="2"/>
        <v>Đạt</v>
      </c>
      <c r="G100" t="str">
        <f t="shared" si="3"/>
        <v>Giỏi</v>
      </c>
      <c r="H100" t="s">
        <v>4</v>
      </c>
    </row>
    <row r="101" spans="1:8" x14ac:dyDescent="0.3">
      <c r="A101" t="s">
        <v>48</v>
      </c>
      <c r="B101" t="s">
        <v>15</v>
      </c>
      <c r="C101" t="s">
        <v>44</v>
      </c>
      <c r="D101" t="s">
        <v>3</v>
      </c>
      <c r="E101" s="2">
        <v>6.7</v>
      </c>
      <c r="F101" t="str">
        <f t="shared" si="2"/>
        <v>Đạt</v>
      </c>
      <c r="G101" t="str">
        <f t="shared" si="3"/>
        <v>Trung bình</v>
      </c>
      <c r="H101" t="s">
        <v>7</v>
      </c>
    </row>
    <row r="102" spans="1:8" x14ac:dyDescent="0.3">
      <c r="A102" t="s">
        <v>58</v>
      </c>
      <c r="B102" t="s">
        <v>25</v>
      </c>
      <c r="C102" t="s">
        <v>45</v>
      </c>
      <c r="D102" t="s">
        <v>12</v>
      </c>
      <c r="E102" s="2">
        <v>9.1999999999999993</v>
      </c>
      <c r="F102" t="str">
        <f t="shared" si="2"/>
        <v>Đạt</v>
      </c>
      <c r="G102" t="str">
        <f t="shared" si="3"/>
        <v>Giỏi</v>
      </c>
      <c r="H102" t="s">
        <v>7</v>
      </c>
    </row>
    <row r="103" spans="1:8" x14ac:dyDescent="0.3">
      <c r="A103" t="s">
        <v>46</v>
      </c>
      <c r="B103" t="s">
        <v>13</v>
      </c>
      <c r="C103" t="s">
        <v>43</v>
      </c>
      <c r="D103" t="s">
        <v>8</v>
      </c>
      <c r="E103" s="2">
        <v>8.8000000000000007</v>
      </c>
      <c r="F103" t="str">
        <f t="shared" si="2"/>
        <v>Đạt</v>
      </c>
      <c r="G103" t="str">
        <f t="shared" si="3"/>
        <v>Giỏi</v>
      </c>
      <c r="H103" t="s">
        <v>4</v>
      </c>
    </row>
    <row r="104" spans="1:8" x14ac:dyDescent="0.3">
      <c r="A104" t="s">
        <v>72</v>
      </c>
      <c r="B104" t="s">
        <v>39</v>
      </c>
      <c r="C104" t="s">
        <v>45</v>
      </c>
      <c r="D104" t="s">
        <v>5</v>
      </c>
      <c r="E104" s="2">
        <v>7.4</v>
      </c>
      <c r="F104" t="str">
        <f t="shared" si="2"/>
        <v>Đạt</v>
      </c>
      <c r="G104" t="str">
        <f t="shared" si="3"/>
        <v>Khá</v>
      </c>
      <c r="H104" t="s">
        <v>4</v>
      </c>
    </row>
    <row r="105" spans="1:8" x14ac:dyDescent="0.3">
      <c r="A105" t="s">
        <v>54</v>
      </c>
      <c r="B105" t="s">
        <v>21</v>
      </c>
      <c r="C105" t="s">
        <v>43</v>
      </c>
      <c r="D105" t="s">
        <v>12</v>
      </c>
      <c r="E105" s="2">
        <v>4.8</v>
      </c>
      <c r="F105" t="str">
        <f t="shared" si="2"/>
        <v>Không đạt</v>
      </c>
      <c r="G105" t="str">
        <f t="shared" si="3"/>
        <v>Yếu</v>
      </c>
      <c r="H105" t="s">
        <v>4</v>
      </c>
    </row>
    <row r="106" spans="1:8" x14ac:dyDescent="0.3">
      <c r="A106" t="s">
        <v>62</v>
      </c>
      <c r="B106" t="s">
        <v>29</v>
      </c>
      <c r="C106" t="s">
        <v>45</v>
      </c>
      <c r="D106" t="s">
        <v>12</v>
      </c>
      <c r="E106" s="2">
        <v>9.6999999999999993</v>
      </c>
      <c r="F106" t="str">
        <f t="shared" si="2"/>
        <v>Đạt</v>
      </c>
      <c r="G106" t="str">
        <f t="shared" si="3"/>
        <v>Giỏi</v>
      </c>
      <c r="H106" t="s">
        <v>4</v>
      </c>
    </row>
    <row r="107" spans="1:8" x14ac:dyDescent="0.3">
      <c r="A107" t="s">
        <v>49</v>
      </c>
      <c r="B107" t="s">
        <v>16</v>
      </c>
      <c r="C107" t="s">
        <v>43</v>
      </c>
      <c r="D107" t="s">
        <v>8</v>
      </c>
      <c r="E107" s="2">
        <v>7.2</v>
      </c>
      <c r="F107" t="str">
        <f t="shared" si="2"/>
        <v>Đạt</v>
      </c>
      <c r="G107" t="str">
        <f t="shared" si="3"/>
        <v>Khá</v>
      </c>
      <c r="H107" t="s">
        <v>7</v>
      </c>
    </row>
    <row r="108" spans="1:8" x14ac:dyDescent="0.3">
      <c r="A108" t="s">
        <v>67</v>
      </c>
      <c r="B108" t="s">
        <v>34</v>
      </c>
      <c r="C108" t="s">
        <v>45</v>
      </c>
      <c r="D108" t="s">
        <v>5</v>
      </c>
      <c r="E108" s="2">
        <v>4.5</v>
      </c>
      <c r="F108" t="str">
        <f t="shared" si="2"/>
        <v>Không đạt</v>
      </c>
      <c r="G108" t="str">
        <f t="shared" si="3"/>
        <v>Yếu</v>
      </c>
      <c r="H108" t="s">
        <v>7</v>
      </c>
    </row>
    <row r="109" spans="1:8" x14ac:dyDescent="0.3">
      <c r="A109" t="s">
        <v>63</v>
      </c>
      <c r="B109" t="s">
        <v>30</v>
      </c>
      <c r="C109" t="s">
        <v>43</v>
      </c>
      <c r="D109" t="s">
        <v>12</v>
      </c>
      <c r="E109" s="2">
        <v>7</v>
      </c>
      <c r="F109" t="str">
        <f t="shared" si="2"/>
        <v>Đạt</v>
      </c>
      <c r="G109" t="str">
        <f t="shared" si="3"/>
        <v>Khá</v>
      </c>
      <c r="H109" t="s">
        <v>7</v>
      </c>
    </row>
    <row r="110" spans="1:8" x14ac:dyDescent="0.3">
      <c r="A110" t="s">
        <v>54</v>
      </c>
      <c r="B110" t="s">
        <v>21</v>
      </c>
      <c r="C110" t="s">
        <v>43</v>
      </c>
      <c r="D110" t="s">
        <v>6</v>
      </c>
      <c r="E110" s="2">
        <v>8.1999999999999993</v>
      </c>
      <c r="F110" t="str">
        <f t="shared" si="2"/>
        <v>Đạt</v>
      </c>
      <c r="G110" t="str">
        <f t="shared" si="3"/>
        <v>Khá</v>
      </c>
      <c r="H110" t="s">
        <v>4</v>
      </c>
    </row>
    <row r="111" spans="1:8" x14ac:dyDescent="0.3">
      <c r="A111" t="s">
        <v>65</v>
      </c>
      <c r="B111" t="s">
        <v>32</v>
      </c>
      <c r="C111" t="s">
        <v>43</v>
      </c>
      <c r="D111" t="s">
        <v>11</v>
      </c>
      <c r="E111" s="2">
        <v>2.2999999999999998</v>
      </c>
      <c r="F111" t="str">
        <f t="shared" si="2"/>
        <v>Không đạt</v>
      </c>
      <c r="G111" t="str">
        <f t="shared" si="3"/>
        <v>Yếu</v>
      </c>
      <c r="H111" t="s">
        <v>4</v>
      </c>
    </row>
    <row r="112" spans="1:8" x14ac:dyDescent="0.3">
      <c r="A112" t="s">
        <v>51</v>
      </c>
      <c r="B112" t="s">
        <v>18</v>
      </c>
      <c r="C112" t="s">
        <v>44</v>
      </c>
      <c r="D112" t="s">
        <v>11</v>
      </c>
      <c r="E112" s="2">
        <v>7.5</v>
      </c>
      <c r="F112" t="str">
        <f t="shared" si="2"/>
        <v>Đạt</v>
      </c>
      <c r="G112" t="str">
        <f t="shared" si="3"/>
        <v>Khá</v>
      </c>
      <c r="H112" t="s">
        <v>7</v>
      </c>
    </row>
    <row r="113" spans="1:8" x14ac:dyDescent="0.3">
      <c r="A113" t="s">
        <v>60</v>
      </c>
      <c r="B113" t="s">
        <v>27</v>
      </c>
      <c r="C113" t="s">
        <v>44</v>
      </c>
      <c r="D113" t="s">
        <v>8</v>
      </c>
      <c r="E113" s="2">
        <v>7.4</v>
      </c>
      <c r="F113" t="str">
        <f t="shared" si="2"/>
        <v>Đạt</v>
      </c>
      <c r="G113" t="str">
        <f t="shared" si="3"/>
        <v>Khá</v>
      </c>
      <c r="H113" t="s">
        <v>7</v>
      </c>
    </row>
    <row r="114" spans="1:8" x14ac:dyDescent="0.3">
      <c r="A114" t="s">
        <v>75</v>
      </c>
      <c r="B114" t="s">
        <v>42</v>
      </c>
      <c r="C114" t="s">
        <v>45</v>
      </c>
      <c r="D114" t="s">
        <v>9</v>
      </c>
      <c r="E114" s="2">
        <v>4.4000000000000004</v>
      </c>
      <c r="F114" t="str">
        <f t="shared" si="2"/>
        <v>Không đạt</v>
      </c>
      <c r="G114" t="str">
        <f t="shared" si="3"/>
        <v>Yếu</v>
      </c>
      <c r="H114" t="s">
        <v>7</v>
      </c>
    </row>
    <row r="115" spans="1:8" x14ac:dyDescent="0.3">
      <c r="A115" t="s">
        <v>70</v>
      </c>
      <c r="B115" t="s">
        <v>37</v>
      </c>
      <c r="C115" t="s">
        <v>45</v>
      </c>
      <c r="D115" t="s">
        <v>8</v>
      </c>
      <c r="E115" s="2">
        <v>6.8</v>
      </c>
      <c r="F115" t="str">
        <f t="shared" si="2"/>
        <v>Đạt</v>
      </c>
      <c r="G115" t="str">
        <f t="shared" si="3"/>
        <v>Trung bình</v>
      </c>
      <c r="H115" t="s">
        <v>7</v>
      </c>
    </row>
    <row r="116" spans="1:8" x14ac:dyDescent="0.3">
      <c r="A116" t="s">
        <v>59</v>
      </c>
      <c r="B116" t="s">
        <v>26</v>
      </c>
      <c r="C116" t="s">
        <v>43</v>
      </c>
      <c r="D116" t="s">
        <v>12</v>
      </c>
      <c r="E116" s="2">
        <v>6.6</v>
      </c>
      <c r="F116" t="str">
        <f t="shared" si="2"/>
        <v>Đạt</v>
      </c>
      <c r="G116" t="str">
        <f t="shared" si="3"/>
        <v>Trung bình</v>
      </c>
      <c r="H116" t="s">
        <v>7</v>
      </c>
    </row>
    <row r="117" spans="1:8" x14ac:dyDescent="0.3">
      <c r="A117" t="s">
        <v>75</v>
      </c>
      <c r="B117" t="s">
        <v>42</v>
      </c>
      <c r="C117" t="s">
        <v>45</v>
      </c>
      <c r="D117" t="s">
        <v>8</v>
      </c>
      <c r="E117" s="2">
        <v>7.5</v>
      </c>
      <c r="F117" t="str">
        <f t="shared" si="2"/>
        <v>Đạt</v>
      </c>
      <c r="G117" t="str">
        <f t="shared" si="3"/>
        <v>Khá</v>
      </c>
      <c r="H117" t="s">
        <v>7</v>
      </c>
    </row>
    <row r="118" spans="1:8" x14ac:dyDescent="0.3">
      <c r="A118" t="s">
        <v>62</v>
      </c>
      <c r="B118" t="s">
        <v>29</v>
      </c>
      <c r="C118" t="s">
        <v>45</v>
      </c>
      <c r="D118" t="s">
        <v>5</v>
      </c>
      <c r="E118" s="2">
        <v>7.1</v>
      </c>
      <c r="F118" t="str">
        <f t="shared" si="2"/>
        <v>Đạt</v>
      </c>
      <c r="G118" t="str">
        <f t="shared" si="3"/>
        <v>Khá</v>
      </c>
      <c r="H118" t="s">
        <v>4</v>
      </c>
    </row>
    <row r="119" spans="1:8" x14ac:dyDescent="0.3">
      <c r="A119" t="s">
        <v>50</v>
      </c>
      <c r="B119" t="s">
        <v>17</v>
      </c>
      <c r="C119" t="s">
        <v>45</v>
      </c>
      <c r="D119" t="s">
        <v>11</v>
      </c>
      <c r="E119" s="2">
        <v>6.6</v>
      </c>
      <c r="F119" t="str">
        <f t="shared" si="2"/>
        <v>Đạt</v>
      </c>
      <c r="G119" t="str">
        <f t="shared" si="3"/>
        <v>Trung bình</v>
      </c>
      <c r="H119" t="s">
        <v>4</v>
      </c>
    </row>
    <row r="120" spans="1:8" x14ac:dyDescent="0.3">
      <c r="A120" t="s">
        <v>67</v>
      </c>
      <c r="B120" t="s">
        <v>34</v>
      </c>
      <c r="C120" t="s">
        <v>45</v>
      </c>
      <c r="D120" t="s">
        <v>10</v>
      </c>
      <c r="E120" s="2">
        <v>6.4</v>
      </c>
      <c r="F120" t="str">
        <f t="shared" si="2"/>
        <v>Đạt</v>
      </c>
      <c r="G120" t="str">
        <f t="shared" si="3"/>
        <v>Trung bình</v>
      </c>
      <c r="H120" t="s">
        <v>7</v>
      </c>
    </row>
    <row r="121" spans="1:8" x14ac:dyDescent="0.3">
      <c r="A121" t="s">
        <v>68</v>
      </c>
      <c r="B121" t="s">
        <v>35</v>
      </c>
      <c r="C121" t="s">
        <v>45</v>
      </c>
      <c r="D121" t="s">
        <v>10</v>
      </c>
      <c r="E121" s="2">
        <v>3.7</v>
      </c>
      <c r="F121" t="str">
        <f t="shared" si="2"/>
        <v>Không đạt</v>
      </c>
      <c r="G121" t="str">
        <f t="shared" si="3"/>
        <v>Yếu</v>
      </c>
      <c r="H121" t="s">
        <v>7</v>
      </c>
    </row>
    <row r="122" spans="1:8" x14ac:dyDescent="0.3">
      <c r="A122" t="s">
        <v>72</v>
      </c>
      <c r="B122" t="s">
        <v>39</v>
      </c>
      <c r="C122" t="s">
        <v>45</v>
      </c>
      <c r="D122" t="s">
        <v>9</v>
      </c>
      <c r="E122" s="2">
        <v>6.8</v>
      </c>
      <c r="F122" t="str">
        <f t="shared" si="2"/>
        <v>Đạt</v>
      </c>
      <c r="G122" t="str">
        <f t="shared" si="3"/>
        <v>Trung bình</v>
      </c>
      <c r="H122" t="s">
        <v>4</v>
      </c>
    </row>
    <row r="123" spans="1:8" x14ac:dyDescent="0.3">
      <c r="A123" t="s">
        <v>62</v>
      </c>
      <c r="B123" t="s">
        <v>29</v>
      </c>
      <c r="C123" t="s">
        <v>45</v>
      </c>
      <c r="D123" t="s">
        <v>11</v>
      </c>
      <c r="E123" s="2">
        <v>4.4000000000000004</v>
      </c>
      <c r="F123" t="str">
        <f t="shared" si="2"/>
        <v>Không đạt</v>
      </c>
      <c r="G123" t="str">
        <f t="shared" si="3"/>
        <v>Yếu</v>
      </c>
      <c r="H123" t="s">
        <v>4</v>
      </c>
    </row>
    <row r="124" spans="1:8" x14ac:dyDescent="0.3">
      <c r="A124" t="s">
        <v>62</v>
      </c>
      <c r="B124" t="s">
        <v>29</v>
      </c>
      <c r="C124" t="s">
        <v>45</v>
      </c>
      <c r="D124" t="s">
        <v>9</v>
      </c>
      <c r="E124" s="2">
        <v>9.1</v>
      </c>
      <c r="F124" t="str">
        <f t="shared" si="2"/>
        <v>Đạt</v>
      </c>
      <c r="G124" t="str">
        <f t="shared" si="3"/>
        <v>Giỏi</v>
      </c>
      <c r="H124" t="s">
        <v>4</v>
      </c>
    </row>
    <row r="125" spans="1:8" x14ac:dyDescent="0.3">
      <c r="A125" t="s">
        <v>51</v>
      </c>
      <c r="B125" t="s">
        <v>18</v>
      </c>
      <c r="C125" t="s">
        <v>44</v>
      </c>
      <c r="D125" t="s">
        <v>3</v>
      </c>
      <c r="E125" s="2">
        <v>7.1</v>
      </c>
      <c r="F125" t="str">
        <f t="shared" si="2"/>
        <v>Đạt</v>
      </c>
      <c r="G125" t="str">
        <f t="shared" si="3"/>
        <v>Khá</v>
      </c>
      <c r="H125" t="s">
        <v>7</v>
      </c>
    </row>
    <row r="126" spans="1:8" x14ac:dyDescent="0.3">
      <c r="A126" t="s">
        <v>49</v>
      </c>
      <c r="B126" t="s">
        <v>16</v>
      </c>
      <c r="C126" t="s">
        <v>43</v>
      </c>
      <c r="D126" t="s">
        <v>9</v>
      </c>
      <c r="E126" s="2">
        <v>9.4</v>
      </c>
      <c r="F126" t="str">
        <f t="shared" si="2"/>
        <v>Đạt</v>
      </c>
      <c r="G126" t="str">
        <f t="shared" si="3"/>
        <v>Giỏi</v>
      </c>
      <c r="H126" t="s">
        <v>7</v>
      </c>
    </row>
    <row r="127" spans="1:8" x14ac:dyDescent="0.3">
      <c r="A127" t="s">
        <v>54</v>
      </c>
      <c r="B127" t="s">
        <v>21</v>
      </c>
      <c r="C127" t="s">
        <v>43</v>
      </c>
      <c r="D127" t="s">
        <v>9</v>
      </c>
      <c r="E127" s="2">
        <v>9.6999999999999993</v>
      </c>
      <c r="F127" t="str">
        <f t="shared" si="2"/>
        <v>Đạt</v>
      </c>
      <c r="G127" t="str">
        <f t="shared" si="3"/>
        <v>Giỏi</v>
      </c>
      <c r="H127" t="s">
        <v>4</v>
      </c>
    </row>
    <row r="128" spans="1:8" x14ac:dyDescent="0.3">
      <c r="A128" t="s">
        <v>46</v>
      </c>
      <c r="B128" t="s">
        <v>13</v>
      </c>
      <c r="C128" t="s">
        <v>43</v>
      </c>
      <c r="D128" t="s">
        <v>12</v>
      </c>
      <c r="E128" s="2">
        <v>7.7</v>
      </c>
      <c r="F128" t="str">
        <f t="shared" si="2"/>
        <v>Đạt</v>
      </c>
      <c r="G128" t="str">
        <f t="shared" si="3"/>
        <v>Khá</v>
      </c>
      <c r="H128" t="s">
        <v>4</v>
      </c>
    </row>
    <row r="129" spans="1:8" x14ac:dyDescent="0.3">
      <c r="A129" t="s">
        <v>56</v>
      </c>
      <c r="B129" t="s">
        <v>23</v>
      </c>
      <c r="C129" t="s">
        <v>44</v>
      </c>
      <c r="D129" t="s">
        <v>3</v>
      </c>
      <c r="E129" s="2">
        <v>7.1</v>
      </c>
      <c r="F129" t="str">
        <f t="shared" si="2"/>
        <v>Đạt</v>
      </c>
      <c r="G129" t="str">
        <f t="shared" si="3"/>
        <v>Khá</v>
      </c>
      <c r="H129" t="s">
        <v>7</v>
      </c>
    </row>
    <row r="130" spans="1:8" x14ac:dyDescent="0.3">
      <c r="A130" t="s">
        <v>46</v>
      </c>
      <c r="B130" t="s">
        <v>13</v>
      </c>
      <c r="C130" t="s">
        <v>43</v>
      </c>
      <c r="D130" t="s">
        <v>11</v>
      </c>
      <c r="E130" s="2">
        <v>8.9</v>
      </c>
      <c r="F130" t="str">
        <f t="shared" ref="F130:F193" si="4">IF(E130 &gt;=5, "Đạt", "Không đạt")</f>
        <v>Đạt</v>
      </c>
      <c r="G130" t="str">
        <f t="shared" ref="G130:G193" si="5">IF(E130&gt;=8.5,"Giỏi",IF(E130&gt;=7,"Khá",IF(E130&gt;=5,"Trung bình","Yếu")))</f>
        <v>Giỏi</v>
      </c>
      <c r="H130" t="s">
        <v>4</v>
      </c>
    </row>
    <row r="131" spans="1:8" x14ac:dyDescent="0.3">
      <c r="A131" t="s">
        <v>60</v>
      </c>
      <c r="B131" t="s">
        <v>27</v>
      </c>
      <c r="C131" t="s">
        <v>44</v>
      </c>
      <c r="D131" t="s">
        <v>10</v>
      </c>
      <c r="E131" s="2">
        <v>4.5</v>
      </c>
      <c r="F131" t="str">
        <f t="shared" si="4"/>
        <v>Không đạt</v>
      </c>
      <c r="G131" t="str">
        <f t="shared" si="5"/>
        <v>Yếu</v>
      </c>
      <c r="H131" t="s">
        <v>7</v>
      </c>
    </row>
    <row r="132" spans="1:8" x14ac:dyDescent="0.3">
      <c r="A132" t="s">
        <v>57</v>
      </c>
      <c r="B132" t="s">
        <v>24</v>
      </c>
      <c r="C132" t="s">
        <v>43</v>
      </c>
      <c r="D132" t="s">
        <v>6</v>
      </c>
      <c r="E132" s="2">
        <v>9.4</v>
      </c>
      <c r="F132" t="str">
        <f t="shared" si="4"/>
        <v>Đạt</v>
      </c>
      <c r="G132" t="str">
        <f t="shared" si="5"/>
        <v>Giỏi</v>
      </c>
      <c r="H132" t="s">
        <v>7</v>
      </c>
    </row>
    <row r="133" spans="1:8" x14ac:dyDescent="0.3">
      <c r="A133" t="s">
        <v>50</v>
      </c>
      <c r="B133" t="s">
        <v>17</v>
      </c>
      <c r="C133" t="s">
        <v>45</v>
      </c>
      <c r="D133" t="s">
        <v>8</v>
      </c>
      <c r="E133" s="2">
        <v>6.6</v>
      </c>
      <c r="F133" t="str">
        <f t="shared" si="4"/>
        <v>Đạt</v>
      </c>
      <c r="G133" t="str">
        <f t="shared" si="5"/>
        <v>Trung bình</v>
      </c>
      <c r="H133" t="s">
        <v>4</v>
      </c>
    </row>
    <row r="134" spans="1:8" x14ac:dyDescent="0.3">
      <c r="A134" t="s">
        <v>71</v>
      </c>
      <c r="B134" t="s">
        <v>38</v>
      </c>
      <c r="C134" t="s">
        <v>43</v>
      </c>
      <c r="D134" t="s">
        <v>10</v>
      </c>
      <c r="E134" s="2">
        <v>7.4</v>
      </c>
      <c r="F134" t="str">
        <f t="shared" si="4"/>
        <v>Đạt</v>
      </c>
      <c r="G134" t="str">
        <f t="shared" si="5"/>
        <v>Khá</v>
      </c>
      <c r="H134" t="s">
        <v>4</v>
      </c>
    </row>
    <row r="135" spans="1:8" x14ac:dyDescent="0.3">
      <c r="A135" t="s">
        <v>52</v>
      </c>
      <c r="B135" t="s">
        <v>19</v>
      </c>
      <c r="C135" t="s">
        <v>44</v>
      </c>
      <c r="D135" t="s">
        <v>12</v>
      </c>
      <c r="E135" s="2">
        <v>9.3000000000000007</v>
      </c>
      <c r="F135" t="str">
        <f t="shared" si="4"/>
        <v>Đạt</v>
      </c>
      <c r="G135" t="str">
        <f t="shared" si="5"/>
        <v>Giỏi</v>
      </c>
      <c r="H135" t="s">
        <v>4</v>
      </c>
    </row>
    <row r="136" spans="1:8" x14ac:dyDescent="0.3">
      <c r="A136" t="s">
        <v>52</v>
      </c>
      <c r="B136" t="s">
        <v>19</v>
      </c>
      <c r="C136" t="s">
        <v>44</v>
      </c>
      <c r="D136" t="s">
        <v>9</v>
      </c>
      <c r="E136" s="2">
        <v>8.4</v>
      </c>
      <c r="F136" t="str">
        <f t="shared" si="4"/>
        <v>Đạt</v>
      </c>
      <c r="G136" t="str">
        <f t="shared" si="5"/>
        <v>Khá</v>
      </c>
      <c r="H136" t="s">
        <v>4</v>
      </c>
    </row>
    <row r="137" spans="1:8" x14ac:dyDescent="0.3">
      <c r="A137" t="s">
        <v>70</v>
      </c>
      <c r="B137" t="s">
        <v>37</v>
      </c>
      <c r="C137" t="s">
        <v>45</v>
      </c>
      <c r="D137" t="s">
        <v>12</v>
      </c>
      <c r="E137" s="2">
        <v>7</v>
      </c>
      <c r="F137" t="str">
        <f t="shared" si="4"/>
        <v>Đạt</v>
      </c>
      <c r="G137" t="str">
        <f t="shared" si="5"/>
        <v>Khá</v>
      </c>
      <c r="H137" t="s">
        <v>7</v>
      </c>
    </row>
    <row r="138" spans="1:8" x14ac:dyDescent="0.3">
      <c r="A138" t="s">
        <v>74</v>
      </c>
      <c r="B138" t="s">
        <v>41</v>
      </c>
      <c r="C138" t="s">
        <v>44</v>
      </c>
      <c r="D138" t="s">
        <v>10</v>
      </c>
      <c r="E138" s="2">
        <v>9</v>
      </c>
      <c r="F138" t="str">
        <f t="shared" si="4"/>
        <v>Đạt</v>
      </c>
      <c r="G138" t="str">
        <f t="shared" si="5"/>
        <v>Giỏi</v>
      </c>
      <c r="H138" t="s">
        <v>4</v>
      </c>
    </row>
    <row r="139" spans="1:8" x14ac:dyDescent="0.3">
      <c r="A139" t="s">
        <v>51</v>
      </c>
      <c r="B139" t="s">
        <v>18</v>
      </c>
      <c r="C139" t="s">
        <v>44</v>
      </c>
      <c r="D139" t="s">
        <v>12</v>
      </c>
      <c r="E139" s="2">
        <v>7.2</v>
      </c>
      <c r="F139" t="str">
        <f t="shared" si="4"/>
        <v>Đạt</v>
      </c>
      <c r="G139" t="str">
        <f t="shared" si="5"/>
        <v>Khá</v>
      </c>
      <c r="H139" t="s">
        <v>7</v>
      </c>
    </row>
    <row r="140" spans="1:8" x14ac:dyDescent="0.3">
      <c r="A140" t="s">
        <v>74</v>
      </c>
      <c r="B140" t="s">
        <v>41</v>
      </c>
      <c r="C140" t="s">
        <v>44</v>
      </c>
      <c r="D140" t="s">
        <v>3</v>
      </c>
      <c r="E140" s="2">
        <v>7.1</v>
      </c>
      <c r="F140" t="str">
        <f t="shared" si="4"/>
        <v>Đạt</v>
      </c>
      <c r="G140" t="str">
        <f t="shared" si="5"/>
        <v>Khá</v>
      </c>
      <c r="H140" t="s">
        <v>4</v>
      </c>
    </row>
    <row r="141" spans="1:8" x14ac:dyDescent="0.3">
      <c r="A141" t="s">
        <v>58</v>
      </c>
      <c r="B141" t="s">
        <v>25</v>
      </c>
      <c r="C141" t="s">
        <v>45</v>
      </c>
      <c r="D141" t="s">
        <v>9</v>
      </c>
      <c r="E141" s="2">
        <v>7.7</v>
      </c>
      <c r="F141" t="str">
        <f t="shared" si="4"/>
        <v>Đạt</v>
      </c>
      <c r="G141" t="str">
        <f t="shared" si="5"/>
        <v>Khá</v>
      </c>
      <c r="H141" t="s">
        <v>7</v>
      </c>
    </row>
    <row r="142" spans="1:8" x14ac:dyDescent="0.3">
      <c r="A142" t="s">
        <v>71</v>
      </c>
      <c r="B142" t="s">
        <v>38</v>
      </c>
      <c r="C142" t="s">
        <v>43</v>
      </c>
      <c r="D142" t="s">
        <v>12</v>
      </c>
      <c r="E142" s="2">
        <v>5.8</v>
      </c>
      <c r="F142" t="str">
        <f t="shared" si="4"/>
        <v>Đạt</v>
      </c>
      <c r="G142" t="str">
        <f t="shared" si="5"/>
        <v>Trung bình</v>
      </c>
      <c r="H142" t="s">
        <v>4</v>
      </c>
    </row>
    <row r="143" spans="1:8" x14ac:dyDescent="0.3">
      <c r="A143" t="s">
        <v>51</v>
      </c>
      <c r="B143" t="s">
        <v>18</v>
      </c>
      <c r="C143" t="s">
        <v>44</v>
      </c>
      <c r="D143" t="s">
        <v>6</v>
      </c>
      <c r="E143" s="2">
        <v>5.3</v>
      </c>
      <c r="F143" t="str">
        <f t="shared" si="4"/>
        <v>Đạt</v>
      </c>
      <c r="G143" t="str">
        <f t="shared" si="5"/>
        <v>Trung bình</v>
      </c>
      <c r="H143" t="s">
        <v>7</v>
      </c>
    </row>
    <row r="144" spans="1:8" x14ac:dyDescent="0.3">
      <c r="A144" t="s">
        <v>60</v>
      </c>
      <c r="B144" t="s">
        <v>27</v>
      </c>
      <c r="C144" t="s">
        <v>44</v>
      </c>
      <c r="D144" t="s">
        <v>6</v>
      </c>
      <c r="E144" s="2">
        <v>4.8</v>
      </c>
      <c r="F144" t="str">
        <f t="shared" si="4"/>
        <v>Không đạt</v>
      </c>
      <c r="G144" t="str">
        <f t="shared" si="5"/>
        <v>Yếu</v>
      </c>
      <c r="H144" t="s">
        <v>7</v>
      </c>
    </row>
    <row r="145" spans="1:8" x14ac:dyDescent="0.3">
      <c r="A145" t="s">
        <v>68</v>
      </c>
      <c r="B145" t="s">
        <v>35</v>
      </c>
      <c r="C145" t="s">
        <v>45</v>
      </c>
      <c r="D145" t="s">
        <v>11</v>
      </c>
      <c r="E145" s="2">
        <v>8.6999999999999993</v>
      </c>
      <c r="F145" t="str">
        <f t="shared" si="4"/>
        <v>Đạt</v>
      </c>
      <c r="G145" t="str">
        <f t="shared" si="5"/>
        <v>Giỏi</v>
      </c>
      <c r="H145" t="s">
        <v>7</v>
      </c>
    </row>
    <row r="146" spans="1:8" x14ac:dyDescent="0.3">
      <c r="A146" t="s">
        <v>55</v>
      </c>
      <c r="B146" t="s">
        <v>22</v>
      </c>
      <c r="C146" t="s">
        <v>44</v>
      </c>
      <c r="D146" t="s">
        <v>6</v>
      </c>
      <c r="E146" s="2">
        <v>9.4</v>
      </c>
      <c r="F146" t="str">
        <f t="shared" si="4"/>
        <v>Đạt</v>
      </c>
      <c r="G146" t="str">
        <f t="shared" si="5"/>
        <v>Giỏi</v>
      </c>
      <c r="H146" t="s">
        <v>4</v>
      </c>
    </row>
    <row r="147" spans="1:8" x14ac:dyDescent="0.3">
      <c r="A147" t="s">
        <v>57</v>
      </c>
      <c r="B147" t="s">
        <v>24</v>
      </c>
      <c r="C147" t="s">
        <v>43</v>
      </c>
      <c r="D147" t="s">
        <v>10</v>
      </c>
      <c r="E147" s="2">
        <v>6.6</v>
      </c>
      <c r="F147" t="str">
        <f t="shared" si="4"/>
        <v>Đạt</v>
      </c>
      <c r="G147" t="str">
        <f t="shared" si="5"/>
        <v>Trung bình</v>
      </c>
      <c r="H147" t="s">
        <v>7</v>
      </c>
    </row>
    <row r="148" spans="1:8" x14ac:dyDescent="0.3">
      <c r="A148" t="s">
        <v>46</v>
      </c>
      <c r="B148" t="s">
        <v>13</v>
      </c>
      <c r="C148" t="s">
        <v>43</v>
      </c>
      <c r="D148" t="s">
        <v>5</v>
      </c>
      <c r="E148" s="2">
        <v>5.5</v>
      </c>
      <c r="F148" t="str">
        <f t="shared" si="4"/>
        <v>Đạt</v>
      </c>
      <c r="G148" t="str">
        <f t="shared" si="5"/>
        <v>Trung bình</v>
      </c>
      <c r="H148" t="s">
        <v>4</v>
      </c>
    </row>
    <row r="149" spans="1:8" x14ac:dyDescent="0.3">
      <c r="A149" t="s">
        <v>65</v>
      </c>
      <c r="B149" t="s">
        <v>32</v>
      </c>
      <c r="C149" t="s">
        <v>43</v>
      </c>
      <c r="D149" t="s">
        <v>6</v>
      </c>
      <c r="E149" s="2">
        <v>8.8000000000000007</v>
      </c>
      <c r="F149" t="str">
        <f t="shared" si="4"/>
        <v>Đạt</v>
      </c>
      <c r="G149" t="str">
        <f t="shared" si="5"/>
        <v>Giỏi</v>
      </c>
      <c r="H149" t="s">
        <v>4</v>
      </c>
    </row>
    <row r="150" spans="1:8" x14ac:dyDescent="0.3">
      <c r="A150" t="s">
        <v>75</v>
      </c>
      <c r="B150" t="s">
        <v>42</v>
      </c>
      <c r="C150" t="s">
        <v>45</v>
      </c>
      <c r="D150" t="s">
        <v>11</v>
      </c>
      <c r="E150" s="2">
        <v>6.9</v>
      </c>
      <c r="F150" t="str">
        <f t="shared" si="4"/>
        <v>Đạt</v>
      </c>
      <c r="G150" t="str">
        <f t="shared" si="5"/>
        <v>Trung bình</v>
      </c>
      <c r="H150" t="s">
        <v>7</v>
      </c>
    </row>
    <row r="151" spans="1:8" x14ac:dyDescent="0.3">
      <c r="A151" t="s">
        <v>56</v>
      </c>
      <c r="B151" t="s">
        <v>23</v>
      </c>
      <c r="C151" t="s">
        <v>44</v>
      </c>
      <c r="D151" t="s">
        <v>9</v>
      </c>
      <c r="E151" s="2">
        <v>5.3</v>
      </c>
      <c r="F151" t="str">
        <f t="shared" si="4"/>
        <v>Đạt</v>
      </c>
      <c r="G151" t="str">
        <f t="shared" si="5"/>
        <v>Trung bình</v>
      </c>
      <c r="H151" t="s">
        <v>7</v>
      </c>
    </row>
    <row r="152" spans="1:8" x14ac:dyDescent="0.3">
      <c r="A152" t="s">
        <v>47</v>
      </c>
      <c r="B152" t="s">
        <v>14</v>
      </c>
      <c r="C152" t="s">
        <v>44</v>
      </c>
      <c r="D152" t="s">
        <v>11</v>
      </c>
      <c r="E152" s="2">
        <v>7.7</v>
      </c>
      <c r="F152" t="str">
        <f t="shared" si="4"/>
        <v>Đạt</v>
      </c>
      <c r="G152" t="str">
        <f t="shared" si="5"/>
        <v>Khá</v>
      </c>
      <c r="H152" t="s">
        <v>7</v>
      </c>
    </row>
    <row r="153" spans="1:8" x14ac:dyDescent="0.3">
      <c r="A153" t="s">
        <v>69</v>
      </c>
      <c r="B153" t="s">
        <v>36</v>
      </c>
      <c r="C153" t="s">
        <v>45</v>
      </c>
      <c r="D153" t="s">
        <v>9</v>
      </c>
      <c r="E153" s="2">
        <v>9</v>
      </c>
      <c r="F153" t="str">
        <f t="shared" si="4"/>
        <v>Đạt</v>
      </c>
      <c r="G153" t="str">
        <f t="shared" si="5"/>
        <v>Giỏi</v>
      </c>
      <c r="H153" t="s">
        <v>4</v>
      </c>
    </row>
    <row r="154" spans="1:8" x14ac:dyDescent="0.3">
      <c r="A154" t="s">
        <v>48</v>
      </c>
      <c r="B154" t="s">
        <v>15</v>
      </c>
      <c r="C154" t="s">
        <v>44</v>
      </c>
      <c r="D154" t="s">
        <v>10</v>
      </c>
      <c r="E154" s="2">
        <v>7.7</v>
      </c>
      <c r="F154" t="str">
        <f t="shared" si="4"/>
        <v>Đạt</v>
      </c>
      <c r="G154" t="str">
        <f t="shared" si="5"/>
        <v>Khá</v>
      </c>
      <c r="H154" t="s">
        <v>7</v>
      </c>
    </row>
    <row r="155" spans="1:8" x14ac:dyDescent="0.3">
      <c r="A155" t="s">
        <v>65</v>
      </c>
      <c r="B155" t="s">
        <v>32</v>
      </c>
      <c r="C155" t="s">
        <v>43</v>
      </c>
      <c r="D155" t="s">
        <v>3</v>
      </c>
      <c r="E155" s="2">
        <v>9</v>
      </c>
      <c r="F155" t="str">
        <f t="shared" si="4"/>
        <v>Đạt</v>
      </c>
      <c r="G155" t="str">
        <f t="shared" si="5"/>
        <v>Giỏi</v>
      </c>
      <c r="H155" t="s">
        <v>4</v>
      </c>
    </row>
    <row r="156" spans="1:8" x14ac:dyDescent="0.3">
      <c r="A156" t="s">
        <v>62</v>
      </c>
      <c r="B156" t="s">
        <v>29</v>
      </c>
      <c r="C156" t="s">
        <v>45</v>
      </c>
      <c r="D156" t="s">
        <v>3</v>
      </c>
      <c r="E156" s="2">
        <v>7.3</v>
      </c>
      <c r="F156" t="str">
        <f t="shared" si="4"/>
        <v>Đạt</v>
      </c>
      <c r="G156" t="str">
        <f t="shared" si="5"/>
        <v>Khá</v>
      </c>
      <c r="H156" t="s">
        <v>4</v>
      </c>
    </row>
    <row r="157" spans="1:8" x14ac:dyDescent="0.3">
      <c r="A157" t="s">
        <v>75</v>
      </c>
      <c r="B157" t="s">
        <v>42</v>
      </c>
      <c r="C157" t="s">
        <v>45</v>
      </c>
      <c r="D157" t="s">
        <v>3</v>
      </c>
      <c r="E157" s="2">
        <v>5.7</v>
      </c>
      <c r="F157" t="str">
        <f t="shared" si="4"/>
        <v>Đạt</v>
      </c>
      <c r="G157" t="str">
        <f t="shared" si="5"/>
        <v>Trung bình</v>
      </c>
      <c r="H157" t="s">
        <v>7</v>
      </c>
    </row>
    <row r="158" spans="1:8" x14ac:dyDescent="0.3">
      <c r="A158" t="s">
        <v>70</v>
      </c>
      <c r="B158" t="s">
        <v>37</v>
      </c>
      <c r="C158" t="s">
        <v>45</v>
      </c>
      <c r="D158" t="s">
        <v>6</v>
      </c>
      <c r="E158" s="2">
        <v>6.3</v>
      </c>
      <c r="F158" t="str">
        <f t="shared" si="4"/>
        <v>Đạt</v>
      </c>
      <c r="G158" t="str">
        <f t="shared" si="5"/>
        <v>Trung bình</v>
      </c>
      <c r="H158" t="s">
        <v>7</v>
      </c>
    </row>
    <row r="159" spans="1:8" x14ac:dyDescent="0.3">
      <c r="A159" t="s">
        <v>52</v>
      </c>
      <c r="B159" t="s">
        <v>19</v>
      </c>
      <c r="C159" t="s">
        <v>44</v>
      </c>
      <c r="D159" t="s">
        <v>6</v>
      </c>
      <c r="E159" s="2">
        <v>7.4</v>
      </c>
      <c r="F159" t="str">
        <f t="shared" si="4"/>
        <v>Đạt</v>
      </c>
      <c r="G159" t="str">
        <f t="shared" si="5"/>
        <v>Khá</v>
      </c>
      <c r="H159" t="s">
        <v>4</v>
      </c>
    </row>
    <row r="160" spans="1:8" x14ac:dyDescent="0.3">
      <c r="A160" t="s">
        <v>72</v>
      </c>
      <c r="B160" t="s">
        <v>39</v>
      </c>
      <c r="C160" t="s">
        <v>45</v>
      </c>
      <c r="D160" t="s">
        <v>8</v>
      </c>
      <c r="E160" s="2">
        <v>6.9</v>
      </c>
      <c r="F160" t="str">
        <f t="shared" si="4"/>
        <v>Đạt</v>
      </c>
      <c r="G160" t="str">
        <f t="shared" si="5"/>
        <v>Trung bình</v>
      </c>
      <c r="H160" t="s">
        <v>4</v>
      </c>
    </row>
    <row r="161" spans="1:8" x14ac:dyDescent="0.3">
      <c r="A161" t="s">
        <v>63</v>
      </c>
      <c r="B161" t="s">
        <v>30</v>
      </c>
      <c r="C161" t="s">
        <v>43</v>
      </c>
      <c r="D161" t="s">
        <v>10</v>
      </c>
      <c r="E161" s="2">
        <v>6.6</v>
      </c>
      <c r="F161" t="str">
        <f t="shared" si="4"/>
        <v>Đạt</v>
      </c>
      <c r="G161" t="str">
        <f t="shared" si="5"/>
        <v>Trung bình</v>
      </c>
      <c r="H161" t="s">
        <v>7</v>
      </c>
    </row>
    <row r="162" spans="1:8" x14ac:dyDescent="0.3">
      <c r="A162" t="s">
        <v>50</v>
      </c>
      <c r="B162" t="s">
        <v>17</v>
      </c>
      <c r="C162" t="s">
        <v>45</v>
      </c>
      <c r="D162" t="s">
        <v>6</v>
      </c>
      <c r="E162" s="2">
        <v>9.1</v>
      </c>
      <c r="F162" t="str">
        <f t="shared" si="4"/>
        <v>Đạt</v>
      </c>
      <c r="G162" t="str">
        <f t="shared" si="5"/>
        <v>Giỏi</v>
      </c>
      <c r="H162" t="s">
        <v>4</v>
      </c>
    </row>
    <row r="163" spans="1:8" x14ac:dyDescent="0.3">
      <c r="A163" t="s">
        <v>69</v>
      </c>
      <c r="B163" t="s">
        <v>36</v>
      </c>
      <c r="C163" t="s">
        <v>45</v>
      </c>
      <c r="D163" t="s">
        <v>11</v>
      </c>
      <c r="E163" s="2">
        <v>8.1</v>
      </c>
      <c r="F163" t="str">
        <f t="shared" si="4"/>
        <v>Đạt</v>
      </c>
      <c r="G163" t="str">
        <f t="shared" si="5"/>
        <v>Khá</v>
      </c>
      <c r="H163" t="s">
        <v>4</v>
      </c>
    </row>
    <row r="164" spans="1:8" x14ac:dyDescent="0.3">
      <c r="A164" t="s">
        <v>73</v>
      </c>
      <c r="B164" t="s">
        <v>40</v>
      </c>
      <c r="C164" t="s">
        <v>43</v>
      </c>
      <c r="D164" t="s">
        <v>5</v>
      </c>
      <c r="E164" s="2">
        <v>2.7</v>
      </c>
      <c r="F164" t="str">
        <f t="shared" si="4"/>
        <v>Không đạt</v>
      </c>
      <c r="G164" t="str">
        <f t="shared" si="5"/>
        <v>Yếu</v>
      </c>
      <c r="H164" t="s">
        <v>7</v>
      </c>
    </row>
    <row r="165" spans="1:8" x14ac:dyDescent="0.3">
      <c r="A165" t="s">
        <v>47</v>
      </c>
      <c r="B165" t="s">
        <v>14</v>
      </c>
      <c r="C165" t="s">
        <v>44</v>
      </c>
      <c r="D165" t="s">
        <v>8</v>
      </c>
      <c r="E165" s="2">
        <v>9.6999999999999993</v>
      </c>
      <c r="F165" t="str">
        <f t="shared" si="4"/>
        <v>Đạt</v>
      </c>
      <c r="G165" t="str">
        <f t="shared" si="5"/>
        <v>Giỏi</v>
      </c>
      <c r="H165" t="s">
        <v>7</v>
      </c>
    </row>
    <row r="166" spans="1:8" x14ac:dyDescent="0.3">
      <c r="A166" t="s">
        <v>73</v>
      </c>
      <c r="B166" t="s">
        <v>40</v>
      </c>
      <c r="C166" t="s">
        <v>43</v>
      </c>
      <c r="D166" t="s">
        <v>8</v>
      </c>
      <c r="E166" s="2">
        <v>8.9</v>
      </c>
      <c r="F166" t="str">
        <f t="shared" si="4"/>
        <v>Đạt</v>
      </c>
      <c r="G166" t="str">
        <f t="shared" si="5"/>
        <v>Giỏi</v>
      </c>
      <c r="H166" t="s">
        <v>7</v>
      </c>
    </row>
    <row r="167" spans="1:8" x14ac:dyDescent="0.3">
      <c r="A167" t="s">
        <v>49</v>
      </c>
      <c r="B167" t="s">
        <v>16</v>
      </c>
      <c r="C167" t="s">
        <v>43</v>
      </c>
      <c r="D167" t="s">
        <v>12</v>
      </c>
      <c r="E167" s="2">
        <v>7.8</v>
      </c>
      <c r="F167" t="str">
        <f t="shared" si="4"/>
        <v>Đạt</v>
      </c>
      <c r="G167" t="str">
        <f t="shared" si="5"/>
        <v>Khá</v>
      </c>
      <c r="H167" t="s">
        <v>7</v>
      </c>
    </row>
    <row r="168" spans="1:8" x14ac:dyDescent="0.3">
      <c r="A168" t="s">
        <v>71</v>
      </c>
      <c r="B168" t="s">
        <v>38</v>
      </c>
      <c r="C168" t="s">
        <v>43</v>
      </c>
      <c r="D168" t="s">
        <v>9</v>
      </c>
      <c r="E168" s="2">
        <v>3.6</v>
      </c>
      <c r="F168" t="str">
        <f t="shared" si="4"/>
        <v>Không đạt</v>
      </c>
      <c r="G168" t="str">
        <f t="shared" si="5"/>
        <v>Yếu</v>
      </c>
      <c r="H168" t="s">
        <v>4</v>
      </c>
    </row>
    <row r="169" spans="1:8" x14ac:dyDescent="0.3">
      <c r="A169" t="s">
        <v>52</v>
      </c>
      <c r="B169" t="s">
        <v>19</v>
      </c>
      <c r="C169" t="s">
        <v>44</v>
      </c>
      <c r="D169" t="s">
        <v>11</v>
      </c>
      <c r="E169" s="2">
        <v>7.2</v>
      </c>
      <c r="F169" t="str">
        <f t="shared" si="4"/>
        <v>Đạt</v>
      </c>
      <c r="G169" t="str">
        <f t="shared" si="5"/>
        <v>Khá</v>
      </c>
      <c r="H169" t="s">
        <v>4</v>
      </c>
    </row>
    <row r="170" spans="1:8" x14ac:dyDescent="0.3">
      <c r="A170" t="s">
        <v>64</v>
      </c>
      <c r="B170" t="s">
        <v>31</v>
      </c>
      <c r="C170" t="s">
        <v>44</v>
      </c>
      <c r="D170" t="s">
        <v>5</v>
      </c>
      <c r="E170" s="2">
        <v>9.8000000000000007</v>
      </c>
      <c r="F170" t="str">
        <f t="shared" si="4"/>
        <v>Đạt</v>
      </c>
      <c r="G170" t="str">
        <f t="shared" si="5"/>
        <v>Giỏi</v>
      </c>
      <c r="H170" t="s">
        <v>4</v>
      </c>
    </row>
    <row r="171" spans="1:8" x14ac:dyDescent="0.3">
      <c r="A171" t="s">
        <v>50</v>
      </c>
      <c r="B171" t="s">
        <v>17</v>
      </c>
      <c r="C171" t="s">
        <v>45</v>
      </c>
      <c r="D171" t="s">
        <v>9</v>
      </c>
      <c r="E171" s="2">
        <v>7.4</v>
      </c>
      <c r="F171" t="str">
        <f t="shared" si="4"/>
        <v>Đạt</v>
      </c>
      <c r="G171" t="str">
        <f t="shared" si="5"/>
        <v>Khá</v>
      </c>
      <c r="H171" t="s">
        <v>4</v>
      </c>
    </row>
    <row r="172" spans="1:8" x14ac:dyDescent="0.3">
      <c r="A172" t="s">
        <v>61</v>
      </c>
      <c r="B172" t="s">
        <v>28</v>
      </c>
      <c r="C172" t="s">
        <v>44</v>
      </c>
      <c r="D172" t="s">
        <v>10</v>
      </c>
      <c r="E172" s="2">
        <v>7.7</v>
      </c>
      <c r="F172" t="str">
        <f t="shared" si="4"/>
        <v>Đạt</v>
      </c>
      <c r="G172" t="str">
        <f t="shared" si="5"/>
        <v>Khá</v>
      </c>
      <c r="H172" t="s">
        <v>4</v>
      </c>
    </row>
    <row r="173" spans="1:8" x14ac:dyDescent="0.3">
      <c r="A173" t="s">
        <v>66</v>
      </c>
      <c r="B173" t="s">
        <v>33</v>
      </c>
      <c r="C173" t="s">
        <v>45</v>
      </c>
      <c r="D173" t="s">
        <v>9</v>
      </c>
      <c r="E173" s="2">
        <v>7.8</v>
      </c>
      <c r="F173" t="str">
        <f t="shared" si="4"/>
        <v>Đạt</v>
      </c>
      <c r="G173" t="str">
        <f t="shared" si="5"/>
        <v>Khá</v>
      </c>
      <c r="H173" t="s">
        <v>4</v>
      </c>
    </row>
    <row r="174" spans="1:8" x14ac:dyDescent="0.3">
      <c r="A174" t="s">
        <v>63</v>
      </c>
      <c r="B174" t="s">
        <v>30</v>
      </c>
      <c r="C174" t="s">
        <v>43</v>
      </c>
      <c r="D174" t="s">
        <v>5</v>
      </c>
      <c r="E174" s="2">
        <v>7.4</v>
      </c>
      <c r="F174" t="str">
        <f t="shared" si="4"/>
        <v>Đạt</v>
      </c>
      <c r="G174" t="str">
        <f t="shared" si="5"/>
        <v>Khá</v>
      </c>
      <c r="H174" t="s">
        <v>7</v>
      </c>
    </row>
    <row r="175" spans="1:8" x14ac:dyDescent="0.3">
      <c r="A175" t="s">
        <v>53</v>
      </c>
      <c r="B175" t="s">
        <v>20</v>
      </c>
      <c r="C175" t="s">
        <v>43</v>
      </c>
      <c r="D175" t="s">
        <v>9</v>
      </c>
      <c r="E175" s="2">
        <v>6.9</v>
      </c>
      <c r="F175" t="str">
        <f t="shared" si="4"/>
        <v>Đạt</v>
      </c>
      <c r="G175" t="str">
        <f t="shared" si="5"/>
        <v>Trung bình</v>
      </c>
      <c r="H175" t="s">
        <v>4</v>
      </c>
    </row>
    <row r="176" spans="1:8" x14ac:dyDescent="0.3">
      <c r="A176" t="s">
        <v>58</v>
      </c>
      <c r="B176" t="s">
        <v>25</v>
      </c>
      <c r="C176" t="s">
        <v>45</v>
      </c>
      <c r="D176" t="s">
        <v>5</v>
      </c>
      <c r="E176" s="2">
        <v>6.3</v>
      </c>
      <c r="F176" t="str">
        <f t="shared" si="4"/>
        <v>Đạt</v>
      </c>
      <c r="G176" t="str">
        <f t="shared" si="5"/>
        <v>Trung bình</v>
      </c>
      <c r="H176" t="s">
        <v>7</v>
      </c>
    </row>
    <row r="177" spans="1:8" x14ac:dyDescent="0.3">
      <c r="A177" t="s">
        <v>72</v>
      </c>
      <c r="B177" t="s">
        <v>39</v>
      </c>
      <c r="C177" t="s">
        <v>45</v>
      </c>
      <c r="D177" t="s">
        <v>12</v>
      </c>
      <c r="E177" s="2">
        <v>4.7</v>
      </c>
      <c r="F177" t="str">
        <f t="shared" si="4"/>
        <v>Không đạt</v>
      </c>
      <c r="G177" t="str">
        <f t="shared" si="5"/>
        <v>Yếu</v>
      </c>
      <c r="H177" t="s">
        <v>4</v>
      </c>
    </row>
    <row r="178" spans="1:8" x14ac:dyDescent="0.3">
      <c r="A178" t="s">
        <v>66</v>
      </c>
      <c r="B178" t="s">
        <v>33</v>
      </c>
      <c r="C178" t="s">
        <v>45</v>
      </c>
      <c r="D178" t="s">
        <v>3</v>
      </c>
      <c r="E178" s="2">
        <v>6.6</v>
      </c>
      <c r="F178" t="str">
        <f t="shared" si="4"/>
        <v>Đạt</v>
      </c>
      <c r="G178" t="str">
        <f t="shared" si="5"/>
        <v>Trung bình</v>
      </c>
      <c r="H178" t="s">
        <v>4</v>
      </c>
    </row>
    <row r="179" spans="1:8" x14ac:dyDescent="0.3">
      <c r="A179" t="s">
        <v>61</v>
      </c>
      <c r="B179" t="s">
        <v>28</v>
      </c>
      <c r="C179" t="s">
        <v>44</v>
      </c>
      <c r="D179" t="s">
        <v>8</v>
      </c>
      <c r="E179" s="2">
        <v>9.4</v>
      </c>
      <c r="F179" t="str">
        <f t="shared" si="4"/>
        <v>Đạt</v>
      </c>
      <c r="G179" t="str">
        <f t="shared" si="5"/>
        <v>Giỏi</v>
      </c>
      <c r="H179" t="s">
        <v>4</v>
      </c>
    </row>
    <row r="180" spans="1:8" x14ac:dyDescent="0.3">
      <c r="A180" t="s">
        <v>64</v>
      </c>
      <c r="B180" t="s">
        <v>31</v>
      </c>
      <c r="C180" t="s">
        <v>44</v>
      </c>
      <c r="D180" t="s">
        <v>9</v>
      </c>
      <c r="E180" s="2">
        <v>8.1</v>
      </c>
      <c r="F180" t="str">
        <f t="shared" si="4"/>
        <v>Đạt</v>
      </c>
      <c r="G180" t="str">
        <f t="shared" si="5"/>
        <v>Khá</v>
      </c>
      <c r="H180" t="s">
        <v>4</v>
      </c>
    </row>
    <row r="181" spans="1:8" x14ac:dyDescent="0.3">
      <c r="A181" t="s">
        <v>53</v>
      </c>
      <c r="B181" t="s">
        <v>20</v>
      </c>
      <c r="C181" t="s">
        <v>43</v>
      </c>
      <c r="D181" t="s">
        <v>12</v>
      </c>
      <c r="E181" s="2">
        <v>5.6</v>
      </c>
      <c r="F181" t="str">
        <f t="shared" si="4"/>
        <v>Đạt</v>
      </c>
      <c r="G181" t="str">
        <f t="shared" si="5"/>
        <v>Trung bình</v>
      </c>
      <c r="H181" t="s">
        <v>4</v>
      </c>
    </row>
    <row r="182" spans="1:8" x14ac:dyDescent="0.3">
      <c r="A182" t="s">
        <v>72</v>
      </c>
      <c r="B182" t="s">
        <v>39</v>
      </c>
      <c r="C182" t="s">
        <v>45</v>
      </c>
      <c r="D182" t="s">
        <v>3</v>
      </c>
      <c r="E182" s="2">
        <v>9.1</v>
      </c>
      <c r="F182" t="str">
        <f t="shared" si="4"/>
        <v>Đạt</v>
      </c>
      <c r="G182" t="str">
        <f t="shared" si="5"/>
        <v>Giỏi</v>
      </c>
      <c r="H182" t="s">
        <v>4</v>
      </c>
    </row>
    <row r="183" spans="1:8" x14ac:dyDescent="0.3">
      <c r="A183" t="s">
        <v>75</v>
      </c>
      <c r="B183" t="s">
        <v>42</v>
      </c>
      <c r="C183" t="s">
        <v>45</v>
      </c>
      <c r="D183" t="s">
        <v>12</v>
      </c>
      <c r="E183" s="2">
        <v>2.8</v>
      </c>
      <c r="F183" t="str">
        <f t="shared" si="4"/>
        <v>Không đạt</v>
      </c>
      <c r="G183" t="str">
        <f t="shared" si="5"/>
        <v>Yếu</v>
      </c>
      <c r="H183" t="s">
        <v>7</v>
      </c>
    </row>
    <row r="184" spans="1:8" x14ac:dyDescent="0.3">
      <c r="A184" t="s">
        <v>49</v>
      </c>
      <c r="B184" t="s">
        <v>16</v>
      </c>
      <c r="C184" t="s">
        <v>43</v>
      </c>
      <c r="D184" t="s">
        <v>3</v>
      </c>
      <c r="E184" s="2">
        <v>2.7</v>
      </c>
      <c r="F184" t="str">
        <f t="shared" si="4"/>
        <v>Không đạt</v>
      </c>
      <c r="G184" t="str">
        <f t="shared" si="5"/>
        <v>Yếu</v>
      </c>
      <c r="H184" t="s">
        <v>7</v>
      </c>
    </row>
    <row r="185" spans="1:8" x14ac:dyDescent="0.3">
      <c r="A185" t="s">
        <v>64</v>
      </c>
      <c r="B185" t="s">
        <v>31</v>
      </c>
      <c r="C185" t="s">
        <v>44</v>
      </c>
      <c r="D185" t="s">
        <v>6</v>
      </c>
      <c r="E185" s="2">
        <v>6.9</v>
      </c>
      <c r="F185" t="str">
        <f t="shared" si="4"/>
        <v>Đạt</v>
      </c>
      <c r="G185" t="str">
        <f t="shared" si="5"/>
        <v>Trung bình</v>
      </c>
      <c r="H185" t="s">
        <v>4</v>
      </c>
    </row>
    <row r="186" spans="1:8" x14ac:dyDescent="0.3">
      <c r="A186" t="s">
        <v>57</v>
      </c>
      <c r="B186" t="s">
        <v>24</v>
      </c>
      <c r="C186" t="s">
        <v>43</v>
      </c>
      <c r="D186" t="s">
        <v>3</v>
      </c>
      <c r="E186" s="2">
        <v>9.5</v>
      </c>
      <c r="F186" t="str">
        <f t="shared" si="4"/>
        <v>Đạt</v>
      </c>
      <c r="G186" t="str">
        <f t="shared" si="5"/>
        <v>Giỏi</v>
      </c>
      <c r="H186" t="s">
        <v>7</v>
      </c>
    </row>
    <row r="187" spans="1:8" x14ac:dyDescent="0.3">
      <c r="A187" t="s">
        <v>65</v>
      </c>
      <c r="B187" t="s">
        <v>32</v>
      </c>
      <c r="C187" t="s">
        <v>43</v>
      </c>
      <c r="D187" t="s">
        <v>10</v>
      </c>
      <c r="E187" s="2">
        <v>4.8</v>
      </c>
      <c r="F187" t="str">
        <f t="shared" si="4"/>
        <v>Không đạt</v>
      </c>
      <c r="G187" t="str">
        <f t="shared" si="5"/>
        <v>Yếu</v>
      </c>
      <c r="H187" t="s">
        <v>4</v>
      </c>
    </row>
    <row r="188" spans="1:8" x14ac:dyDescent="0.3">
      <c r="A188" t="s">
        <v>66</v>
      </c>
      <c r="B188" t="s">
        <v>33</v>
      </c>
      <c r="C188" t="s">
        <v>45</v>
      </c>
      <c r="D188" t="s">
        <v>12</v>
      </c>
      <c r="E188" s="2">
        <v>8.8000000000000007</v>
      </c>
      <c r="F188" t="str">
        <f t="shared" si="4"/>
        <v>Đạt</v>
      </c>
      <c r="G188" t="str">
        <f t="shared" si="5"/>
        <v>Giỏi</v>
      </c>
      <c r="H188" t="s">
        <v>4</v>
      </c>
    </row>
    <row r="189" spans="1:8" x14ac:dyDescent="0.3">
      <c r="A189" t="s">
        <v>48</v>
      </c>
      <c r="B189" t="s">
        <v>15</v>
      </c>
      <c r="C189" t="s">
        <v>44</v>
      </c>
      <c r="D189" t="s">
        <v>9</v>
      </c>
      <c r="E189" s="2">
        <v>6.7</v>
      </c>
      <c r="F189" t="str">
        <f t="shared" si="4"/>
        <v>Đạt</v>
      </c>
      <c r="G189" t="str">
        <f t="shared" si="5"/>
        <v>Trung bình</v>
      </c>
      <c r="H189" t="s">
        <v>7</v>
      </c>
    </row>
    <row r="190" spans="1:8" x14ac:dyDescent="0.3">
      <c r="A190" t="s">
        <v>68</v>
      </c>
      <c r="B190" t="s">
        <v>35</v>
      </c>
      <c r="C190" t="s">
        <v>45</v>
      </c>
      <c r="D190" t="s">
        <v>6</v>
      </c>
      <c r="E190" s="2">
        <v>3.7</v>
      </c>
      <c r="F190" t="str">
        <f t="shared" si="4"/>
        <v>Không đạt</v>
      </c>
      <c r="G190" t="str">
        <f t="shared" si="5"/>
        <v>Yếu</v>
      </c>
      <c r="H190" t="s">
        <v>7</v>
      </c>
    </row>
    <row r="191" spans="1:8" x14ac:dyDescent="0.3">
      <c r="A191" t="s">
        <v>66</v>
      </c>
      <c r="B191" t="s">
        <v>33</v>
      </c>
      <c r="C191" t="s">
        <v>45</v>
      </c>
      <c r="D191" t="s">
        <v>6</v>
      </c>
      <c r="E191" s="2">
        <v>9</v>
      </c>
      <c r="F191" t="str">
        <f t="shared" si="4"/>
        <v>Đạt</v>
      </c>
      <c r="G191" t="str">
        <f t="shared" si="5"/>
        <v>Giỏi</v>
      </c>
      <c r="H191" t="s">
        <v>4</v>
      </c>
    </row>
    <row r="192" spans="1:8" x14ac:dyDescent="0.3">
      <c r="A192" t="s">
        <v>71</v>
      </c>
      <c r="B192" t="s">
        <v>38</v>
      </c>
      <c r="C192" t="s">
        <v>43</v>
      </c>
      <c r="D192" t="s">
        <v>3</v>
      </c>
      <c r="E192" s="2">
        <v>7.5</v>
      </c>
      <c r="F192" t="str">
        <f t="shared" si="4"/>
        <v>Đạt</v>
      </c>
      <c r="G192" t="str">
        <f t="shared" si="5"/>
        <v>Khá</v>
      </c>
      <c r="H192" t="s">
        <v>4</v>
      </c>
    </row>
    <row r="193" spans="1:8" x14ac:dyDescent="0.3">
      <c r="A193" t="s">
        <v>64</v>
      </c>
      <c r="B193" t="s">
        <v>31</v>
      </c>
      <c r="C193" t="s">
        <v>44</v>
      </c>
      <c r="D193" t="s">
        <v>10</v>
      </c>
      <c r="E193" s="2">
        <v>6.9</v>
      </c>
      <c r="F193" t="str">
        <f t="shared" si="4"/>
        <v>Đạt</v>
      </c>
      <c r="G193" t="str">
        <f t="shared" si="5"/>
        <v>Trung bình</v>
      </c>
      <c r="H193" t="s">
        <v>4</v>
      </c>
    </row>
    <row r="194" spans="1:8" x14ac:dyDescent="0.3">
      <c r="A194" t="s">
        <v>52</v>
      </c>
      <c r="B194" t="s">
        <v>19</v>
      </c>
      <c r="C194" t="s">
        <v>44</v>
      </c>
      <c r="D194" t="s">
        <v>3</v>
      </c>
      <c r="E194" s="2">
        <v>9.8000000000000007</v>
      </c>
      <c r="F194" t="str">
        <f t="shared" ref="F194:F257" si="6">IF(E194 &gt;=5, "Đạt", "Không đạt")</f>
        <v>Đạt</v>
      </c>
      <c r="G194" t="str">
        <f t="shared" ref="G194:G241" si="7">IF(E194&gt;=8.5,"Giỏi",IF(E194&gt;=7,"Khá",IF(E194&gt;=5,"Trung bình","Yếu")))</f>
        <v>Giỏi</v>
      </c>
      <c r="H194" t="s">
        <v>4</v>
      </c>
    </row>
    <row r="195" spans="1:8" x14ac:dyDescent="0.3">
      <c r="A195" t="s">
        <v>57</v>
      </c>
      <c r="B195" t="s">
        <v>24</v>
      </c>
      <c r="C195" t="s">
        <v>43</v>
      </c>
      <c r="D195" t="s">
        <v>5</v>
      </c>
      <c r="E195" s="2">
        <v>2.1</v>
      </c>
      <c r="F195" t="str">
        <f t="shared" si="6"/>
        <v>Không đạt</v>
      </c>
      <c r="G195" t="str">
        <f t="shared" si="7"/>
        <v>Yếu</v>
      </c>
      <c r="H195" t="s">
        <v>7</v>
      </c>
    </row>
    <row r="196" spans="1:8" x14ac:dyDescent="0.3">
      <c r="A196" t="s">
        <v>60</v>
      </c>
      <c r="B196" t="s">
        <v>27</v>
      </c>
      <c r="C196" t="s">
        <v>44</v>
      </c>
      <c r="D196" t="s">
        <v>9</v>
      </c>
      <c r="E196" s="2">
        <v>8.4</v>
      </c>
      <c r="F196" t="str">
        <f t="shared" si="6"/>
        <v>Đạt</v>
      </c>
      <c r="G196" t="str">
        <f t="shared" si="7"/>
        <v>Khá</v>
      </c>
      <c r="H196" t="s">
        <v>7</v>
      </c>
    </row>
    <row r="197" spans="1:8" x14ac:dyDescent="0.3">
      <c r="A197" t="s">
        <v>59</v>
      </c>
      <c r="B197" t="s">
        <v>26</v>
      </c>
      <c r="C197" t="s">
        <v>43</v>
      </c>
      <c r="D197" t="s">
        <v>11</v>
      </c>
      <c r="E197" s="2">
        <v>8.4</v>
      </c>
      <c r="F197" t="str">
        <f t="shared" si="6"/>
        <v>Đạt</v>
      </c>
      <c r="G197" t="str">
        <f t="shared" si="7"/>
        <v>Khá</v>
      </c>
      <c r="H197" t="s">
        <v>7</v>
      </c>
    </row>
    <row r="198" spans="1:8" x14ac:dyDescent="0.3">
      <c r="A198" t="s">
        <v>65</v>
      </c>
      <c r="B198" t="s">
        <v>32</v>
      </c>
      <c r="C198" t="s">
        <v>43</v>
      </c>
      <c r="D198" t="s">
        <v>5</v>
      </c>
      <c r="E198" s="2">
        <v>8.9</v>
      </c>
      <c r="F198" t="str">
        <f t="shared" si="6"/>
        <v>Đạt</v>
      </c>
      <c r="G198" t="str">
        <f t="shared" si="7"/>
        <v>Giỏi</v>
      </c>
      <c r="H198" t="s">
        <v>4</v>
      </c>
    </row>
    <row r="199" spans="1:8" x14ac:dyDescent="0.3">
      <c r="A199" t="s">
        <v>53</v>
      </c>
      <c r="B199" t="s">
        <v>20</v>
      </c>
      <c r="C199" t="s">
        <v>43</v>
      </c>
      <c r="D199" t="s">
        <v>6</v>
      </c>
      <c r="E199" s="2">
        <v>8.4</v>
      </c>
      <c r="F199" t="str">
        <f t="shared" si="6"/>
        <v>Đạt</v>
      </c>
      <c r="G199" t="str">
        <f t="shared" si="7"/>
        <v>Khá</v>
      </c>
      <c r="H199" t="s">
        <v>4</v>
      </c>
    </row>
    <row r="200" spans="1:8" x14ac:dyDescent="0.3">
      <c r="A200" t="s">
        <v>67</v>
      </c>
      <c r="B200" t="s">
        <v>34</v>
      </c>
      <c r="C200" t="s">
        <v>45</v>
      </c>
      <c r="D200" t="s">
        <v>8</v>
      </c>
      <c r="E200" s="2">
        <v>5.2</v>
      </c>
      <c r="F200" t="str">
        <f t="shared" si="6"/>
        <v>Đạt</v>
      </c>
      <c r="G200" t="str">
        <f t="shared" si="7"/>
        <v>Trung bình</v>
      </c>
      <c r="H200" t="s">
        <v>7</v>
      </c>
    </row>
    <row r="201" spans="1:8" x14ac:dyDescent="0.3">
      <c r="A201" t="s">
        <v>59</v>
      </c>
      <c r="B201" t="s">
        <v>26</v>
      </c>
      <c r="C201" t="s">
        <v>43</v>
      </c>
      <c r="D201" t="s">
        <v>5</v>
      </c>
      <c r="E201" s="2">
        <v>8.3000000000000007</v>
      </c>
      <c r="F201" t="str">
        <f t="shared" si="6"/>
        <v>Đạt</v>
      </c>
      <c r="G201" t="str">
        <f t="shared" si="7"/>
        <v>Khá</v>
      </c>
      <c r="H201" t="s">
        <v>7</v>
      </c>
    </row>
    <row r="202" spans="1:8" x14ac:dyDescent="0.3">
      <c r="A202" t="s">
        <v>56</v>
      </c>
      <c r="B202" t="s">
        <v>23</v>
      </c>
      <c r="C202" t="s">
        <v>44</v>
      </c>
      <c r="D202" t="s">
        <v>6</v>
      </c>
      <c r="E202" s="2">
        <v>7.3</v>
      </c>
      <c r="F202" t="str">
        <f t="shared" si="6"/>
        <v>Đạt</v>
      </c>
      <c r="G202" t="str">
        <f t="shared" si="7"/>
        <v>Khá</v>
      </c>
      <c r="H202" t="s">
        <v>7</v>
      </c>
    </row>
    <row r="203" spans="1:8" x14ac:dyDescent="0.3">
      <c r="A203" t="s">
        <v>48</v>
      </c>
      <c r="B203" t="s">
        <v>15</v>
      </c>
      <c r="C203" t="s">
        <v>44</v>
      </c>
      <c r="D203" t="s">
        <v>8</v>
      </c>
      <c r="E203" s="2">
        <v>8.9</v>
      </c>
      <c r="F203" t="str">
        <f t="shared" si="6"/>
        <v>Đạt</v>
      </c>
      <c r="G203" t="str">
        <f t="shared" si="7"/>
        <v>Giỏi</v>
      </c>
      <c r="H203" t="s">
        <v>7</v>
      </c>
    </row>
    <row r="204" spans="1:8" x14ac:dyDescent="0.3">
      <c r="A204" t="s">
        <v>59</v>
      </c>
      <c r="B204" t="s">
        <v>26</v>
      </c>
      <c r="C204" t="s">
        <v>43</v>
      </c>
      <c r="D204" t="s">
        <v>3</v>
      </c>
      <c r="E204" s="2">
        <v>9.6999999999999993</v>
      </c>
      <c r="F204" t="str">
        <f t="shared" si="6"/>
        <v>Đạt</v>
      </c>
      <c r="G204" t="str">
        <f t="shared" si="7"/>
        <v>Giỏi</v>
      </c>
      <c r="H204" t="s">
        <v>7</v>
      </c>
    </row>
    <row r="205" spans="1:8" x14ac:dyDescent="0.3">
      <c r="A205" t="s">
        <v>57</v>
      </c>
      <c r="B205" t="s">
        <v>24</v>
      </c>
      <c r="C205" t="s">
        <v>43</v>
      </c>
      <c r="D205" t="s">
        <v>9</v>
      </c>
      <c r="E205" s="2">
        <v>6.2</v>
      </c>
      <c r="F205" t="str">
        <f t="shared" si="6"/>
        <v>Đạt</v>
      </c>
      <c r="G205" t="str">
        <f t="shared" si="7"/>
        <v>Trung bình</v>
      </c>
      <c r="H205" t="s">
        <v>7</v>
      </c>
    </row>
    <row r="206" spans="1:8" x14ac:dyDescent="0.3">
      <c r="A206" t="s">
        <v>61</v>
      </c>
      <c r="B206" t="s">
        <v>28</v>
      </c>
      <c r="C206" t="s">
        <v>44</v>
      </c>
      <c r="D206" t="s">
        <v>5</v>
      </c>
      <c r="E206" s="2">
        <v>6.6</v>
      </c>
      <c r="F206" t="str">
        <f t="shared" si="6"/>
        <v>Đạt</v>
      </c>
      <c r="G206" t="str">
        <f t="shared" si="7"/>
        <v>Trung bình</v>
      </c>
      <c r="H206" t="s">
        <v>4</v>
      </c>
    </row>
    <row r="207" spans="1:8" x14ac:dyDescent="0.3">
      <c r="A207" t="s">
        <v>74</v>
      </c>
      <c r="B207" t="s">
        <v>41</v>
      </c>
      <c r="C207" t="s">
        <v>44</v>
      </c>
      <c r="D207" t="s">
        <v>5</v>
      </c>
      <c r="E207" s="2">
        <v>9.4</v>
      </c>
      <c r="F207" t="str">
        <f t="shared" si="6"/>
        <v>Đạt</v>
      </c>
      <c r="G207" t="str">
        <f t="shared" si="7"/>
        <v>Giỏi</v>
      </c>
      <c r="H207" t="s">
        <v>4</v>
      </c>
    </row>
    <row r="208" spans="1:8" x14ac:dyDescent="0.3">
      <c r="A208" t="s">
        <v>63</v>
      </c>
      <c r="B208" t="s">
        <v>30</v>
      </c>
      <c r="C208" t="s">
        <v>43</v>
      </c>
      <c r="D208" t="s">
        <v>11</v>
      </c>
      <c r="E208" s="2">
        <v>8.6</v>
      </c>
      <c r="F208" t="str">
        <f t="shared" si="6"/>
        <v>Đạt</v>
      </c>
      <c r="G208" t="str">
        <f t="shared" si="7"/>
        <v>Giỏi</v>
      </c>
      <c r="H208" t="s">
        <v>7</v>
      </c>
    </row>
    <row r="209" spans="1:8" x14ac:dyDescent="0.3">
      <c r="A209" t="s">
        <v>61</v>
      </c>
      <c r="B209" t="s">
        <v>28</v>
      </c>
      <c r="C209" t="s">
        <v>44</v>
      </c>
      <c r="D209" t="s">
        <v>11</v>
      </c>
      <c r="E209" s="2">
        <v>7.7</v>
      </c>
      <c r="F209" t="str">
        <f t="shared" si="6"/>
        <v>Đạt</v>
      </c>
      <c r="G209" t="str">
        <f t="shared" si="7"/>
        <v>Khá</v>
      </c>
      <c r="H209" t="s">
        <v>4</v>
      </c>
    </row>
    <row r="210" spans="1:8" x14ac:dyDescent="0.3">
      <c r="A210" t="s">
        <v>57</v>
      </c>
      <c r="B210" t="s">
        <v>24</v>
      </c>
      <c r="C210" t="s">
        <v>43</v>
      </c>
      <c r="D210" t="s">
        <v>11</v>
      </c>
      <c r="E210" s="2">
        <v>2.2000000000000002</v>
      </c>
      <c r="F210" t="str">
        <f t="shared" si="6"/>
        <v>Không đạt</v>
      </c>
      <c r="G210" t="str">
        <f t="shared" si="7"/>
        <v>Yếu</v>
      </c>
      <c r="H210" t="s">
        <v>7</v>
      </c>
    </row>
    <row r="211" spans="1:8" x14ac:dyDescent="0.3">
      <c r="A211" t="s">
        <v>74</v>
      </c>
      <c r="B211" t="s">
        <v>41</v>
      </c>
      <c r="C211" t="s">
        <v>44</v>
      </c>
      <c r="D211" t="s">
        <v>11</v>
      </c>
      <c r="E211" s="2">
        <v>7</v>
      </c>
      <c r="F211" t="str">
        <f t="shared" si="6"/>
        <v>Đạt</v>
      </c>
      <c r="G211" t="str">
        <f t="shared" si="7"/>
        <v>Khá</v>
      </c>
      <c r="H211" t="s">
        <v>4</v>
      </c>
    </row>
    <row r="212" spans="1:8" x14ac:dyDescent="0.3">
      <c r="A212" t="s">
        <v>74</v>
      </c>
      <c r="B212" t="s">
        <v>41</v>
      </c>
      <c r="C212" t="s">
        <v>44</v>
      </c>
      <c r="D212" t="s">
        <v>6</v>
      </c>
      <c r="E212" s="2">
        <v>7.9</v>
      </c>
      <c r="F212" t="str">
        <f t="shared" si="6"/>
        <v>Đạt</v>
      </c>
      <c r="G212" t="str">
        <f t="shared" si="7"/>
        <v>Khá</v>
      </c>
      <c r="H212" t="s">
        <v>4</v>
      </c>
    </row>
    <row r="213" spans="1:8" x14ac:dyDescent="0.3">
      <c r="A213" t="s">
        <v>75</v>
      </c>
      <c r="B213" t="s">
        <v>42</v>
      </c>
      <c r="C213" t="s">
        <v>45</v>
      </c>
      <c r="D213" t="s">
        <v>10</v>
      </c>
      <c r="E213" s="2">
        <v>6.9</v>
      </c>
      <c r="F213" t="str">
        <f t="shared" si="6"/>
        <v>Đạt</v>
      </c>
      <c r="G213" t="str">
        <f t="shared" si="7"/>
        <v>Trung bình</v>
      </c>
      <c r="H213" t="s">
        <v>7</v>
      </c>
    </row>
    <row r="214" spans="1:8" x14ac:dyDescent="0.3">
      <c r="A214" t="s">
        <v>68</v>
      </c>
      <c r="B214" t="s">
        <v>35</v>
      </c>
      <c r="C214" t="s">
        <v>45</v>
      </c>
      <c r="D214" t="s">
        <v>9</v>
      </c>
      <c r="E214" s="2">
        <v>9.5</v>
      </c>
      <c r="F214" t="str">
        <f t="shared" si="6"/>
        <v>Đạt</v>
      </c>
      <c r="G214" t="str">
        <f t="shared" si="7"/>
        <v>Giỏi</v>
      </c>
      <c r="H214" t="s">
        <v>7</v>
      </c>
    </row>
    <row r="215" spans="1:8" x14ac:dyDescent="0.3">
      <c r="A215" t="s">
        <v>75</v>
      </c>
      <c r="B215" t="s">
        <v>42</v>
      </c>
      <c r="C215" t="s">
        <v>45</v>
      </c>
      <c r="D215" t="s">
        <v>6</v>
      </c>
      <c r="E215" s="2">
        <v>9.8000000000000007</v>
      </c>
      <c r="F215" t="str">
        <f t="shared" si="6"/>
        <v>Đạt</v>
      </c>
      <c r="G215" t="str">
        <f t="shared" si="7"/>
        <v>Giỏi</v>
      </c>
      <c r="H215" t="s">
        <v>7</v>
      </c>
    </row>
    <row r="216" spans="1:8" x14ac:dyDescent="0.3">
      <c r="A216" t="s">
        <v>63</v>
      </c>
      <c r="B216" t="s">
        <v>30</v>
      </c>
      <c r="C216" t="s">
        <v>43</v>
      </c>
      <c r="D216" t="s">
        <v>8</v>
      </c>
      <c r="E216" s="2">
        <v>5.9</v>
      </c>
      <c r="F216" t="str">
        <f t="shared" si="6"/>
        <v>Đạt</v>
      </c>
      <c r="G216" t="str">
        <f t="shared" si="7"/>
        <v>Trung bình</v>
      </c>
      <c r="H216" t="s">
        <v>7</v>
      </c>
    </row>
    <row r="217" spans="1:8" x14ac:dyDescent="0.3">
      <c r="A217" t="s">
        <v>61</v>
      </c>
      <c r="B217" t="s">
        <v>28</v>
      </c>
      <c r="C217" t="s">
        <v>44</v>
      </c>
      <c r="D217" t="s">
        <v>3</v>
      </c>
      <c r="E217" s="2">
        <v>9.1999999999999993</v>
      </c>
      <c r="F217" t="str">
        <f t="shared" si="6"/>
        <v>Đạt</v>
      </c>
      <c r="G217" t="str">
        <f t="shared" si="7"/>
        <v>Giỏi</v>
      </c>
      <c r="H217" t="s">
        <v>4</v>
      </c>
    </row>
    <row r="218" spans="1:8" x14ac:dyDescent="0.3">
      <c r="A218" t="s">
        <v>74</v>
      </c>
      <c r="B218" t="s">
        <v>41</v>
      </c>
      <c r="C218" t="s">
        <v>44</v>
      </c>
      <c r="D218" t="s">
        <v>12</v>
      </c>
      <c r="E218" s="2">
        <v>6.8</v>
      </c>
      <c r="F218" t="str">
        <f t="shared" si="6"/>
        <v>Đạt</v>
      </c>
      <c r="G218" t="str">
        <f t="shared" si="7"/>
        <v>Trung bình</v>
      </c>
      <c r="H218" t="s">
        <v>4</v>
      </c>
    </row>
    <row r="219" spans="1:8" x14ac:dyDescent="0.3">
      <c r="A219" t="s">
        <v>47</v>
      </c>
      <c r="B219" t="s">
        <v>14</v>
      </c>
      <c r="C219" t="s">
        <v>44</v>
      </c>
      <c r="D219" t="s">
        <v>12</v>
      </c>
      <c r="E219" s="2">
        <v>6.9</v>
      </c>
      <c r="F219" t="str">
        <f t="shared" si="6"/>
        <v>Đạt</v>
      </c>
      <c r="G219" t="str">
        <f t="shared" si="7"/>
        <v>Trung bình</v>
      </c>
      <c r="H219" t="s">
        <v>7</v>
      </c>
    </row>
    <row r="220" spans="1:8" x14ac:dyDescent="0.3">
      <c r="A220" t="s">
        <v>55</v>
      </c>
      <c r="B220" t="s">
        <v>22</v>
      </c>
      <c r="C220" t="s">
        <v>44</v>
      </c>
      <c r="D220" t="s">
        <v>8</v>
      </c>
      <c r="E220" s="2">
        <v>5.8</v>
      </c>
      <c r="F220" t="str">
        <f t="shared" si="6"/>
        <v>Đạt</v>
      </c>
      <c r="G220" t="str">
        <f t="shared" si="7"/>
        <v>Trung bình</v>
      </c>
      <c r="H220" t="s">
        <v>4</v>
      </c>
    </row>
    <row r="221" spans="1:8" x14ac:dyDescent="0.3">
      <c r="A221" t="s">
        <v>66</v>
      </c>
      <c r="B221" t="s">
        <v>33</v>
      </c>
      <c r="C221" t="s">
        <v>45</v>
      </c>
      <c r="D221" t="s">
        <v>5</v>
      </c>
      <c r="E221" s="2">
        <v>5.0999999999999996</v>
      </c>
      <c r="F221" t="str">
        <f t="shared" si="6"/>
        <v>Đạt</v>
      </c>
      <c r="G221" t="str">
        <f t="shared" si="7"/>
        <v>Trung bình</v>
      </c>
      <c r="H221" t="s">
        <v>4</v>
      </c>
    </row>
    <row r="222" spans="1:8" x14ac:dyDescent="0.3">
      <c r="A222" t="s">
        <v>73</v>
      </c>
      <c r="B222" t="s">
        <v>40</v>
      </c>
      <c r="C222" t="s">
        <v>43</v>
      </c>
      <c r="D222" t="s">
        <v>6</v>
      </c>
      <c r="E222" s="2">
        <v>7.1</v>
      </c>
      <c r="F222" t="str">
        <f t="shared" si="6"/>
        <v>Đạt</v>
      </c>
      <c r="G222" t="str">
        <f t="shared" si="7"/>
        <v>Khá</v>
      </c>
      <c r="H222" t="s">
        <v>7</v>
      </c>
    </row>
    <row r="223" spans="1:8" x14ac:dyDescent="0.3">
      <c r="A223" t="s">
        <v>64</v>
      </c>
      <c r="B223" t="s">
        <v>31</v>
      </c>
      <c r="C223" t="s">
        <v>44</v>
      </c>
      <c r="D223" t="s">
        <v>12</v>
      </c>
      <c r="E223" s="2">
        <v>6.7</v>
      </c>
      <c r="F223" t="str">
        <f t="shared" si="6"/>
        <v>Đạt</v>
      </c>
      <c r="G223" t="str">
        <f t="shared" si="7"/>
        <v>Trung bình</v>
      </c>
      <c r="H223" t="s">
        <v>4</v>
      </c>
    </row>
    <row r="224" spans="1:8" x14ac:dyDescent="0.3">
      <c r="A224" t="s">
        <v>59</v>
      </c>
      <c r="B224" t="s">
        <v>26</v>
      </c>
      <c r="C224" t="s">
        <v>43</v>
      </c>
      <c r="D224" t="s">
        <v>6</v>
      </c>
      <c r="E224" s="2">
        <v>7.7</v>
      </c>
      <c r="F224" t="str">
        <f t="shared" si="6"/>
        <v>Đạt</v>
      </c>
      <c r="G224" t="str">
        <f t="shared" si="7"/>
        <v>Khá</v>
      </c>
      <c r="H224" t="s">
        <v>7</v>
      </c>
    </row>
    <row r="225" spans="1:8" x14ac:dyDescent="0.3">
      <c r="A225" t="s">
        <v>47</v>
      </c>
      <c r="B225" t="s">
        <v>14</v>
      </c>
      <c r="C225" t="s">
        <v>44</v>
      </c>
      <c r="D225" t="s">
        <v>10</v>
      </c>
      <c r="E225" s="2">
        <v>7.6</v>
      </c>
      <c r="F225" t="str">
        <f t="shared" si="6"/>
        <v>Đạt</v>
      </c>
      <c r="G225" t="str">
        <f t="shared" si="7"/>
        <v>Khá</v>
      </c>
      <c r="H225" t="s">
        <v>7</v>
      </c>
    </row>
    <row r="226" spans="1:8" x14ac:dyDescent="0.3">
      <c r="A226" t="s">
        <v>60</v>
      </c>
      <c r="B226" t="s">
        <v>27</v>
      </c>
      <c r="C226" t="s">
        <v>44</v>
      </c>
      <c r="D226" t="s">
        <v>12</v>
      </c>
      <c r="E226" s="2">
        <v>5.0999999999999996</v>
      </c>
      <c r="F226" t="str">
        <f t="shared" si="6"/>
        <v>Đạt</v>
      </c>
      <c r="G226" t="str">
        <f t="shared" si="7"/>
        <v>Trung bình</v>
      </c>
      <c r="H226" t="s">
        <v>7</v>
      </c>
    </row>
    <row r="227" spans="1:8" x14ac:dyDescent="0.3">
      <c r="A227" t="s">
        <v>48</v>
      </c>
      <c r="B227" t="s">
        <v>15</v>
      </c>
      <c r="C227" t="s">
        <v>44</v>
      </c>
      <c r="D227" t="s">
        <v>12</v>
      </c>
      <c r="E227" s="2">
        <v>9.1999999999999993</v>
      </c>
      <c r="F227" t="str">
        <f t="shared" si="6"/>
        <v>Đạt</v>
      </c>
      <c r="G227" t="str">
        <f t="shared" si="7"/>
        <v>Giỏi</v>
      </c>
      <c r="H227" t="s">
        <v>7</v>
      </c>
    </row>
    <row r="228" spans="1:8" x14ac:dyDescent="0.3">
      <c r="A228" t="s">
        <v>68</v>
      </c>
      <c r="B228" t="s">
        <v>35</v>
      </c>
      <c r="C228" t="s">
        <v>45</v>
      </c>
      <c r="D228" t="s">
        <v>8</v>
      </c>
      <c r="E228" s="2">
        <v>6.9</v>
      </c>
      <c r="F228" t="str">
        <f t="shared" si="6"/>
        <v>Đạt</v>
      </c>
      <c r="G228" t="str">
        <f t="shared" si="7"/>
        <v>Trung bình</v>
      </c>
      <c r="H228" t="s">
        <v>7</v>
      </c>
    </row>
    <row r="229" spans="1:8" x14ac:dyDescent="0.3">
      <c r="A229" t="s">
        <v>56</v>
      </c>
      <c r="B229" t="s">
        <v>23</v>
      </c>
      <c r="C229" t="s">
        <v>44</v>
      </c>
      <c r="D229" t="s">
        <v>8</v>
      </c>
      <c r="E229" s="2">
        <v>6.9</v>
      </c>
      <c r="F229" t="str">
        <f t="shared" si="6"/>
        <v>Đạt</v>
      </c>
      <c r="G229" t="str">
        <f t="shared" si="7"/>
        <v>Trung bình</v>
      </c>
      <c r="H229" t="s">
        <v>7</v>
      </c>
    </row>
    <row r="230" spans="1:8" x14ac:dyDescent="0.3">
      <c r="A230" t="s">
        <v>69</v>
      </c>
      <c r="B230" t="s">
        <v>36</v>
      </c>
      <c r="C230" t="s">
        <v>45</v>
      </c>
      <c r="D230" t="s">
        <v>5</v>
      </c>
      <c r="E230" s="2">
        <v>9.5</v>
      </c>
      <c r="F230" t="str">
        <f t="shared" si="6"/>
        <v>Đạt</v>
      </c>
      <c r="G230" t="str">
        <f t="shared" si="7"/>
        <v>Giỏi</v>
      </c>
      <c r="H230" t="s">
        <v>4</v>
      </c>
    </row>
    <row r="231" spans="1:8" x14ac:dyDescent="0.3">
      <c r="A231" t="s">
        <v>55</v>
      </c>
      <c r="B231" t="s">
        <v>22</v>
      </c>
      <c r="C231" t="s">
        <v>44</v>
      </c>
      <c r="D231" t="s">
        <v>3</v>
      </c>
      <c r="E231" s="2">
        <v>8.3000000000000007</v>
      </c>
      <c r="F231" t="str">
        <f t="shared" si="6"/>
        <v>Đạt</v>
      </c>
      <c r="G231" t="str">
        <f t="shared" si="7"/>
        <v>Khá</v>
      </c>
      <c r="H231" t="s">
        <v>4</v>
      </c>
    </row>
    <row r="232" spans="1:8" x14ac:dyDescent="0.3">
      <c r="A232" t="s">
        <v>46</v>
      </c>
      <c r="B232" t="s">
        <v>13</v>
      </c>
      <c r="C232" t="s">
        <v>43</v>
      </c>
      <c r="D232" t="s">
        <v>6</v>
      </c>
      <c r="E232" s="2">
        <v>6.9</v>
      </c>
      <c r="F232" t="str">
        <f t="shared" si="6"/>
        <v>Đạt</v>
      </c>
      <c r="G232" t="str">
        <f t="shared" si="7"/>
        <v>Trung bình</v>
      </c>
      <c r="H232" t="s">
        <v>4</v>
      </c>
    </row>
    <row r="233" spans="1:8" x14ac:dyDescent="0.3">
      <c r="A233" t="s">
        <v>59</v>
      </c>
      <c r="B233" t="s">
        <v>26</v>
      </c>
      <c r="C233" t="s">
        <v>43</v>
      </c>
      <c r="D233" t="s">
        <v>10</v>
      </c>
      <c r="E233" s="2">
        <v>7.3</v>
      </c>
      <c r="F233" t="str">
        <f t="shared" si="6"/>
        <v>Đạt</v>
      </c>
      <c r="G233" t="str">
        <f t="shared" si="7"/>
        <v>Khá</v>
      </c>
      <c r="H233" t="s">
        <v>7</v>
      </c>
    </row>
    <row r="234" spans="1:8" x14ac:dyDescent="0.3">
      <c r="A234" t="s">
        <v>63</v>
      </c>
      <c r="B234" t="s">
        <v>30</v>
      </c>
      <c r="C234" t="s">
        <v>43</v>
      </c>
      <c r="D234" t="s">
        <v>3</v>
      </c>
      <c r="E234" s="2">
        <v>5.7</v>
      </c>
      <c r="F234" t="str">
        <f t="shared" si="6"/>
        <v>Đạt</v>
      </c>
      <c r="G234" t="str">
        <f t="shared" si="7"/>
        <v>Trung bình</v>
      </c>
      <c r="H234" t="s">
        <v>7</v>
      </c>
    </row>
    <row r="235" spans="1:8" x14ac:dyDescent="0.3">
      <c r="A235" t="s">
        <v>72</v>
      </c>
      <c r="B235" t="s">
        <v>39</v>
      </c>
      <c r="C235" t="s">
        <v>45</v>
      </c>
      <c r="D235" t="s">
        <v>10</v>
      </c>
      <c r="E235" s="2">
        <v>5.4</v>
      </c>
      <c r="F235" t="str">
        <f t="shared" si="6"/>
        <v>Đạt</v>
      </c>
      <c r="G235" t="str">
        <f t="shared" si="7"/>
        <v>Trung bình</v>
      </c>
      <c r="H235" t="s">
        <v>4</v>
      </c>
    </row>
    <row r="236" spans="1:8" x14ac:dyDescent="0.3">
      <c r="A236" t="s">
        <v>62</v>
      </c>
      <c r="B236" t="s">
        <v>29</v>
      </c>
      <c r="C236" t="s">
        <v>45</v>
      </c>
      <c r="D236" t="s">
        <v>6</v>
      </c>
      <c r="E236" s="2">
        <v>6.8</v>
      </c>
      <c r="F236" t="str">
        <f t="shared" si="6"/>
        <v>Đạt</v>
      </c>
      <c r="G236" t="str">
        <f t="shared" si="7"/>
        <v>Trung bình</v>
      </c>
      <c r="H236" t="s">
        <v>4</v>
      </c>
    </row>
    <row r="237" spans="1:8" x14ac:dyDescent="0.3">
      <c r="A237" t="s">
        <v>67</v>
      </c>
      <c r="B237" t="s">
        <v>34</v>
      </c>
      <c r="C237" t="s">
        <v>45</v>
      </c>
      <c r="D237" t="s">
        <v>9</v>
      </c>
      <c r="E237" s="2">
        <v>3.2</v>
      </c>
      <c r="F237" t="str">
        <f t="shared" si="6"/>
        <v>Không đạt</v>
      </c>
      <c r="G237" t="str">
        <f t="shared" si="7"/>
        <v>Yếu</v>
      </c>
      <c r="H237" t="s">
        <v>7</v>
      </c>
    </row>
    <row r="238" spans="1:8" x14ac:dyDescent="0.3">
      <c r="A238" t="s">
        <v>68</v>
      </c>
      <c r="B238" t="s">
        <v>35</v>
      </c>
      <c r="C238" t="s">
        <v>45</v>
      </c>
      <c r="D238" t="s">
        <v>12</v>
      </c>
      <c r="E238" s="2">
        <v>8.6999999999999993</v>
      </c>
      <c r="F238" t="str">
        <f t="shared" si="6"/>
        <v>Đạt</v>
      </c>
      <c r="G238" t="str">
        <f t="shared" si="7"/>
        <v>Giỏi</v>
      </c>
      <c r="H238" t="s">
        <v>7</v>
      </c>
    </row>
    <row r="239" spans="1:8" x14ac:dyDescent="0.3">
      <c r="A239" t="s">
        <v>55</v>
      </c>
      <c r="B239" t="s">
        <v>22</v>
      </c>
      <c r="C239" t="s">
        <v>44</v>
      </c>
      <c r="D239" t="s">
        <v>12</v>
      </c>
      <c r="E239" s="2">
        <v>4.5</v>
      </c>
      <c r="F239" t="str">
        <f t="shared" si="6"/>
        <v>Không đạt</v>
      </c>
      <c r="G239" t="str">
        <f t="shared" si="7"/>
        <v>Yếu</v>
      </c>
      <c r="H239" t="s">
        <v>4</v>
      </c>
    </row>
    <row r="240" spans="1:8" x14ac:dyDescent="0.3">
      <c r="A240" t="s">
        <v>53</v>
      </c>
      <c r="B240" t="s">
        <v>20</v>
      </c>
      <c r="C240" t="s">
        <v>43</v>
      </c>
      <c r="D240" t="s">
        <v>3</v>
      </c>
      <c r="E240" s="2">
        <v>6.6</v>
      </c>
      <c r="F240" t="str">
        <f t="shared" si="6"/>
        <v>Đạt</v>
      </c>
      <c r="G240" t="str">
        <f t="shared" si="7"/>
        <v>Trung bình</v>
      </c>
      <c r="H240" t="s">
        <v>4</v>
      </c>
    </row>
    <row r="241" spans="1:8" x14ac:dyDescent="0.3">
      <c r="A241" t="s">
        <v>46</v>
      </c>
      <c r="B241" t="s">
        <v>13</v>
      </c>
      <c r="C241" t="s">
        <v>43</v>
      </c>
      <c r="D241" t="s">
        <v>9</v>
      </c>
      <c r="E241" s="2">
        <v>6.9</v>
      </c>
      <c r="F241" t="str">
        <f t="shared" si="6"/>
        <v>Đạt</v>
      </c>
      <c r="G241" t="str">
        <f t="shared" si="7"/>
        <v>Trung bình</v>
      </c>
      <c r="H241" t="s">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Dataset_SS08_Bai3_SinhVien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Khanh Linh Le Vu</cp:lastModifiedBy>
  <dcterms:created xsi:type="dcterms:W3CDTF">2026-01-21T08:59:40Z</dcterms:created>
  <dcterms:modified xsi:type="dcterms:W3CDTF">2026-01-22T05:53:05Z</dcterms:modified>
</cp:coreProperties>
</file>